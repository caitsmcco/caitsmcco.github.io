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cco\Documents\github-repos\caitsmcco.github.io\crib\"/>
    </mc:Choice>
  </mc:AlternateContent>
  <xr:revisionPtr revIDLastSave="0" documentId="13_ncr:1_{DC880EDF-441E-43FD-8AB5-41E58DE68611}" xr6:coauthVersionLast="47" xr6:coauthVersionMax="47" xr10:uidLastSave="{00000000-0000-0000-0000-000000000000}"/>
  <bookViews>
    <workbookView xWindow="3250" yWindow="1610" windowWidth="8670" windowHeight="7100" activeTab="1" xr2:uid="{4580139E-8B0A-4BF3-A599-CCC1FCBD3D07}"/>
  </bookViews>
  <sheets>
    <sheet name="Sheet1" sheetId="2" r:id="rId1"/>
    <sheet name="data_part2" sheetId="1" r:id="rId2"/>
    <sheet name="Sheet2" sheetId="3" r:id="rId3"/>
  </sheets>
  <calcPr calcId="191029"/>
  <pivotCaches>
    <pivotCache cacheId="0" r:id="rId4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" i="1"/>
  <c r="E2" i="3"/>
  <c r="F2" i="3"/>
  <c r="D2" i="3"/>
  <c r="C2" i="3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" i="1"/>
</calcChain>
</file>

<file path=xl/sharedStrings.xml><?xml version="1.0" encoding="utf-8"?>
<sst xmlns="http://schemas.openxmlformats.org/spreadsheetml/2006/main" count="3843" uniqueCount="118">
  <si>
    <t>Name</t>
  </si>
  <si>
    <t>gameDate</t>
  </si>
  <si>
    <t>Round</t>
  </si>
  <si>
    <t>d1</t>
  </si>
  <si>
    <t>d1num</t>
  </si>
  <si>
    <t>d1suit</t>
  </si>
  <si>
    <t>d2</t>
  </si>
  <si>
    <t>d2num</t>
  </si>
  <si>
    <t>d2suit</t>
  </si>
  <si>
    <t>cc</t>
  </si>
  <si>
    <t>ccnum</t>
  </si>
  <si>
    <t>ccsuit</t>
  </si>
  <si>
    <t>p1</t>
  </si>
  <si>
    <t>p2</t>
  </si>
  <si>
    <t>p3</t>
  </si>
  <si>
    <t>p4</t>
  </si>
  <si>
    <t>p5</t>
  </si>
  <si>
    <t>p6</t>
  </si>
  <si>
    <t>p7</t>
  </si>
  <si>
    <t>peggedPoints</t>
  </si>
  <si>
    <t>handPoints</t>
  </si>
  <si>
    <t>cribPoints</t>
  </si>
  <si>
    <t>EORScore</t>
  </si>
  <si>
    <t>Caitlin</t>
  </si>
  <si>
    <t>Wed Feb 18 2026 12:33:49 GMT-0700 (Mountain Standard Time)</t>
  </si>
  <si>
    <t>5H</t>
  </si>
  <si>
    <t>H</t>
  </si>
  <si>
    <t>7S</t>
  </si>
  <si>
    <t>S</t>
  </si>
  <si>
    <t>JH</t>
  </si>
  <si>
    <t>J</t>
  </si>
  <si>
    <t>3D</t>
  </si>
  <si>
    <t>KD</t>
  </si>
  <si>
    <t>2C</t>
  </si>
  <si>
    <t>AD</t>
  </si>
  <si>
    <t>GO</t>
  </si>
  <si>
    <t>Sarah</t>
  </si>
  <si>
    <t>9D</t>
  </si>
  <si>
    <t>D</t>
  </si>
  <si>
    <t>QS</t>
  </si>
  <si>
    <t>Q</t>
  </si>
  <si>
    <t>3H</t>
  </si>
  <si>
    <t>4H</t>
  </si>
  <si>
    <t>2S</t>
  </si>
  <si>
    <t>7H</t>
  </si>
  <si>
    <t>8H</t>
  </si>
  <si>
    <t>KH</t>
  </si>
  <si>
    <t>K</t>
  </si>
  <si>
    <t>10H</t>
  </si>
  <si>
    <t>3C</t>
  </si>
  <si>
    <t>6H</t>
  </si>
  <si>
    <t>6D</t>
  </si>
  <si>
    <t>JD</t>
  </si>
  <si>
    <t>QH</t>
  </si>
  <si>
    <t>8C</t>
  </si>
  <si>
    <t>C</t>
  </si>
  <si>
    <t>8D</t>
  </si>
  <si>
    <t>AS</t>
  </si>
  <si>
    <t>A</t>
  </si>
  <si>
    <t>4D</t>
  </si>
  <si>
    <t>4S</t>
  </si>
  <si>
    <t>10D</t>
  </si>
  <si>
    <t>KS</t>
  </si>
  <si>
    <t>6S</t>
  </si>
  <si>
    <t>7C</t>
  </si>
  <si>
    <t>AH</t>
  </si>
  <si>
    <t>5D</t>
  </si>
  <si>
    <t>2D</t>
  </si>
  <si>
    <t>9S</t>
  </si>
  <si>
    <t>5C</t>
  </si>
  <si>
    <t>5S</t>
  </si>
  <si>
    <t>QC</t>
  </si>
  <si>
    <t>3S</t>
  </si>
  <si>
    <t>9C</t>
  </si>
  <si>
    <t>9H</t>
  </si>
  <si>
    <t>8S</t>
  </si>
  <si>
    <t>Wed Feb 18 2026 16:06:18 GMT-0700 (Mountain Standard Time)</t>
  </si>
  <si>
    <t>2H</t>
  </si>
  <si>
    <t>QD</t>
  </si>
  <si>
    <t>7D</t>
  </si>
  <si>
    <t>4C</t>
  </si>
  <si>
    <t>JC</t>
  </si>
  <si>
    <t>6C</t>
  </si>
  <si>
    <t>KC</t>
  </si>
  <si>
    <t>10C</t>
  </si>
  <si>
    <t>AC</t>
  </si>
  <si>
    <t>JS</t>
  </si>
  <si>
    <t>10S</t>
  </si>
  <si>
    <t>Thu Feb 19 2026 13:41:18 GMT-0700 (Mountain Standard Time)</t>
  </si>
  <si>
    <t>Thu Feb 19 2026 17:19:33 GMT-0700 (Mountain Standard Time)</t>
  </si>
  <si>
    <t>Colban</t>
  </si>
  <si>
    <t>Fri Feb 20 2026 17:42:18 GMT-0700 (Mountain Standard Time)</t>
  </si>
  <si>
    <t>Fri Feb 20 2026 18:17:55 GMT-0700 (Mountain Standard Time)</t>
  </si>
  <si>
    <t>Fri Feb 20 2026 18:54:44 GMT-0700 (Mountain Standard Time)</t>
  </si>
  <si>
    <t>Fri Feb 20 2026 19:31:56 GMT-0700 (Mountain Standard Time)</t>
  </si>
  <si>
    <t>Fri Feb 20 2026 20:16:20 GMT-0700 (Mountain Standard Time)</t>
  </si>
  <si>
    <t>Fri Feb 20 2026 21:49:46 GMT-0700 (Mountain Standard Time)</t>
  </si>
  <si>
    <t>Fri Feb 20 2026 22:27:30 GMT-0700 (Mountain Standard Time)</t>
  </si>
  <si>
    <t>Fri Feb 20 2026 23:16:36 GMT-0700 (Mountain Standard Time)</t>
  </si>
  <si>
    <t>Sun Feb 22 2026 22:51:29 GMT-0700 (Mountain Standard Time)</t>
  </si>
  <si>
    <t>roundScore</t>
  </si>
  <si>
    <t>Row Labels</t>
  </si>
  <si>
    <t>Grand Total</t>
  </si>
  <si>
    <t>(All)</t>
  </si>
  <si>
    <t>Average of roundScore</t>
  </si>
  <si>
    <t>Average of handPoints</t>
  </si>
  <si>
    <t>Average of cribPoints</t>
  </si>
  <si>
    <t>Average of peggedPoints</t>
  </si>
  <si>
    <t>Count of Round</t>
  </si>
  <si>
    <t>numbers</t>
  </si>
  <si>
    <t>suits</t>
  </si>
  <si>
    <t>flush?</t>
  </si>
  <si>
    <t>Assisted flush?</t>
  </si>
  <si>
    <t>assisted points</t>
  </si>
  <si>
    <t>Game</t>
  </si>
  <si>
    <t>M3</t>
  </si>
  <si>
    <t>Winner</t>
  </si>
  <si>
    <t>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</si>
</sst>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itlin McConnery" refreshedDate="46080.976561805554" createdVersion="8" refreshedVersion="8" minRefreshableVersion="3" recordCount="238" xr:uid="{D5853F6F-2DE5-4542-B996-1042386F765E}">
  <cacheSource type="worksheet">
    <worksheetSource ref="A1:AE239" sheet="data_part2"/>
  </cacheSource>
  <cacheFields count="24">
    <cacheField name="Name" numFmtId="0">
      <sharedItems count="3">
        <s v="Caitlin"/>
        <s v="Sarah"/>
        <s v="Colban"/>
      </sharedItems>
    </cacheField>
    <cacheField name="gameDate" numFmtId="0">
      <sharedItems count="13">
        <s v="Wed Feb 18 2026 12:33:49 GMT-0700 (Mountain Standard Time)"/>
        <s v="Wed Feb 18 2026 16:06:18 GMT-0700 (Mountain Standard Time)"/>
        <s v="Thu Feb 19 2026 13:41:18 GMT-0700 (Mountain Standard Time)"/>
        <s v="Thu Feb 19 2026 17:19:33 GMT-0700 (Mountain Standard Time)"/>
        <s v="Fri Feb 20 2026 17:42:18 GMT-0700 (Mountain Standard Time)"/>
        <s v="Fri Feb 20 2026 18:17:55 GMT-0700 (Mountain Standard Time)"/>
        <s v="Fri Feb 20 2026 18:54:44 GMT-0700 (Mountain Standard Time)"/>
        <s v="Fri Feb 20 2026 19:31:56 GMT-0700 (Mountain Standard Time)"/>
        <s v="Fri Feb 20 2026 20:16:20 GMT-0700 (Mountain Standard Time)"/>
        <s v="Fri Feb 20 2026 21:49:46 GMT-0700 (Mountain Standard Time)"/>
        <s v="Fri Feb 20 2026 22:27:30 GMT-0700 (Mountain Standard Time)"/>
        <s v="Fri Feb 20 2026 23:16:36 GMT-0700 (Mountain Standard Time)"/>
        <s v="Sun Feb 22 2026 22:51:29 GMT-0700 (Mountain Standard Time)"/>
      </sharedItems>
    </cacheField>
    <cacheField name="Round" numFmtId="0">
      <sharedItems containsSemiMixedTypes="0" containsString="0" containsNumber="1" containsInteger="1" minValue="1" maxValue="10"/>
    </cacheField>
    <cacheField name="d1" numFmtId="0">
      <sharedItems/>
    </cacheField>
    <cacheField name="d1num" numFmtId="0">
      <sharedItems containsMixedTypes="1" containsNumber="1" containsInteger="1" minValue="1" maxValue="9"/>
    </cacheField>
    <cacheField name="d1suit" numFmtId="0">
      <sharedItems/>
    </cacheField>
    <cacheField name="d2" numFmtId="0">
      <sharedItems/>
    </cacheField>
    <cacheField name="d2num" numFmtId="0">
      <sharedItems containsMixedTypes="1" containsNumber="1" containsInteger="1" minValue="1" maxValue="9"/>
    </cacheField>
    <cacheField name="d2suit" numFmtId="0">
      <sharedItems/>
    </cacheField>
    <cacheField name="cc" numFmtId="0">
      <sharedItems/>
    </cacheField>
    <cacheField name="ccnum" numFmtId="0">
      <sharedItems containsMixedTypes="1" containsNumber="1" containsInteger="1" minValue="1" maxValue="9"/>
    </cacheField>
    <cacheField name="ccsuit" numFmtId="0">
      <sharedItems/>
    </cacheField>
    <cacheField name="p1" numFmtId="0">
      <sharedItems/>
    </cacheField>
    <cacheField name="p2" numFmtId="0">
      <sharedItems/>
    </cacheField>
    <cacheField name="p3" numFmtId="0">
      <sharedItems/>
    </cacheField>
    <cacheField name="p4" numFmtId="0">
      <sharedItems/>
    </cacheField>
    <cacheField name="p5" numFmtId="0">
      <sharedItems/>
    </cacheField>
    <cacheField name="p6" numFmtId="0">
      <sharedItems containsBlank="1"/>
    </cacheField>
    <cacheField name="p7" numFmtId="0">
      <sharedItems containsBlank="1"/>
    </cacheField>
    <cacheField name="peggedPoints" numFmtId="0">
      <sharedItems containsString="0" containsBlank="1" containsNumber="1" containsInteger="1" minValue="0" maxValue="11"/>
    </cacheField>
    <cacheField name="handPoints" numFmtId="0">
      <sharedItems containsString="0" containsBlank="1" containsNumber="1" containsInteger="1" minValue="0" maxValue="20"/>
    </cacheField>
    <cacheField name="cribPoints" numFmtId="0">
      <sharedItems containsString="0" containsBlank="1" containsNumber="1" containsInteger="1" minValue="0" maxValue="17"/>
    </cacheField>
    <cacheField name="roundScore" numFmtId="0">
      <sharedItems containsSemiMixedTypes="0" containsString="0" containsNumber="1" containsInteger="1" minValue="1" maxValue="29"/>
    </cacheField>
    <cacheField name="EORScore" numFmtId="0">
      <sharedItems containsSemiMixedTypes="0" containsString="0" containsNumber="1" containsInteger="1" minValue="3" maxValue="1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x v="0"/>
    <x v="0"/>
    <n v="1"/>
    <s v="5H"/>
    <n v="5"/>
    <s v="H"/>
    <s v="7S"/>
    <n v="7"/>
    <s v="S"/>
    <s v="JH"/>
    <s v="J"/>
    <s v="H"/>
    <s v="3D"/>
    <s v="KD"/>
    <s v="2C"/>
    <s v="AD"/>
    <s v="GO"/>
    <s v="GO"/>
    <s v="GO"/>
    <n v="2"/>
    <n v="7"/>
    <n v="4"/>
    <n v="13"/>
    <n v="13"/>
  </r>
  <r>
    <x v="1"/>
    <x v="0"/>
    <n v="1"/>
    <s v="9D"/>
    <n v="9"/>
    <s v="D"/>
    <s v="QS"/>
    <s v="Q"/>
    <s v="S"/>
    <s v="JH"/>
    <s v="J"/>
    <s v="H"/>
    <s v="3H"/>
    <s v="4H"/>
    <s v="2S"/>
    <s v="GO"/>
    <s v="7H"/>
    <s v="GO"/>
    <s v="GO"/>
    <n v="5"/>
    <n v="9"/>
    <n v="0"/>
    <n v="14"/>
    <n v="14"/>
  </r>
  <r>
    <x v="0"/>
    <x v="0"/>
    <n v="2"/>
    <s v="9D"/>
    <n v="9"/>
    <s v="D"/>
    <s v="8H"/>
    <n v="8"/>
    <s v="H"/>
    <s v="KH"/>
    <s v="K"/>
    <s v="H"/>
    <s v="10H"/>
    <s v="GO"/>
    <s v="3C"/>
    <s v="2S"/>
    <s v="3D"/>
    <s v="GO"/>
    <s v="GO"/>
    <n v="3"/>
    <n v="8"/>
    <m/>
    <n v="11"/>
    <n v="24"/>
  </r>
  <r>
    <x v="1"/>
    <x v="0"/>
    <n v="2"/>
    <s v="6H"/>
    <n v="6"/>
    <s v="H"/>
    <s v="6D"/>
    <n v="6"/>
    <s v="D"/>
    <s v="KH"/>
    <s v="K"/>
    <s v="H"/>
    <s v="JD"/>
    <s v="QH"/>
    <s v="GO"/>
    <s v="QS"/>
    <s v="5H"/>
    <s v="GO"/>
    <s v="GO"/>
    <n v="1"/>
    <n v="16"/>
    <n v="6"/>
    <n v="23"/>
    <n v="37"/>
  </r>
  <r>
    <x v="0"/>
    <x v="0"/>
    <n v="3"/>
    <s v="8C"/>
    <n v="8"/>
    <s v="C"/>
    <s v="8D"/>
    <n v="8"/>
    <s v="D"/>
    <s v="AS"/>
    <s v="A"/>
    <s v="S"/>
    <s v="6D"/>
    <s v="10H"/>
    <s v="GO"/>
    <s v="9D"/>
    <s v="6H"/>
    <s v="GO"/>
    <s v="GO"/>
    <n v="0"/>
    <n v="6"/>
    <n v="6"/>
    <n v="12"/>
    <n v="36"/>
  </r>
  <r>
    <x v="1"/>
    <x v="0"/>
    <n v="3"/>
    <s v="7H"/>
    <n v="7"/>
    <s v="H"/>
    <s v="4D"/>
    <n v="4"/>
    <s v="D"/>
    <s v="AS"/>
    <s v="A"/>
    <s v="S"/>
    <s v="4S"/>
    <s v="10D"/>
    <s v="GO"/>
    <s v="QS"/>
    <s v="5H"/>
    <s v="GO"/>
    <s v="GO"/>
    <n v="1"/>
    <n v="12"/>
    <m/>
    <n v="13"/>
    <n v="50"/>
  </r>
  <r>
    <x v="0"/>
    <x v="0"/>
    <n v="4"/>
    <s v="7S"/>
    <n v="7"/>
    <s v="S"/>
    <s v="6D"/>
    <n v="6"/>
    <s v="D"/>
    <s v="4H"/>
    <n v="4"/>
    <s v="H"/>
    <s v="KH"/>
    <s v="KS"/>
    <s v="GO"/>
    <s v="4S"/>
    <s v="AD"/>
    <s v="GO"/>
    <s v="GO"/>
    <n v="3"/>
    <n v="14"/>
    <m/>
    <n v="17"/>
    <n v="53"/>
  </r>
  <r>
    <x v="1"/>
    <x v="0"/>
    <n v="4"/>
    <s v="6S"/>
    <n v="6"/>
    <s v="S"/>
    <s v="2C"/>
    <n v="2"/>
    <s v="C"/>
    <s v="4H"/>
    <n v="4"/>
    <s v="H"/>
    <s v="QS"/>
    <s v="AS"/>
    <s v="GO"/>
    <s v="8D"/>
    <s v="8C"/>
    <s v="GO"/>
    <s v="GO"/>
    <n v="3"/>
    <n v="4"/>
    <n v="6"/>
    <n v="13"/>
    <n v="63"/>
  </r>
  <r>
    <x v="0"/>
    <x v="0"/>
    <n v="5"/>
    <s v="8C"/>
    <n v="8"/>
    <s v="C"/>
    <s v="7C"/>
    <n v="7"/>
    <s v="C"/>
    <s v="2S"/>
    <n v="2"/>
    <s v="S"/>
    <s v="4S"/>
    <s v="3D"/>
    <s v="JD"/>
    <s v="AH"/>
    <s v="GO"/>
    <s v="GO"/>
    <s v="GO"/>
    <n v="6"/>
    <n v="10"/>
    <n v="7"/>
    <n v="23"/>
    <n v="76"/>
  </r>
  <r>
    <x v="1"/>
    <x v="0"/>
    <n v="5"/>
    <s v="6H"/>
    <n v="6"/>
    <s v="H"/>
    <s v="3H"/>
    <n v="3"/>
    <s v="H"/>
    <s v="2S"/>
    <n v="2"/>
    <s v="S"/>
    <s v="6D"/>
    <s v="5D"/>
    <s v="2D"/>
    <s v="GO"/>
    <s v="8D"/>
    <s v="GO"/>
    <s v="GO"/>
    <n v="5"/>
    <n v="8"/>
    <m/>
    <n v="13"/>
    <n v="76"/>
  </r>
  <r>
    <x v="0"/>
    <x v="0"/>
    <n v="6"/>
    <s v="9S"/>
    <n v="9"/>
    <s v="S"/>
    <s v="7H"/>
    <n v="7"/>
    <s v="H"/>
    <s v="5H"/>
    <n v="5"/>
    <s v="H"/>
    <s v="KH"/>
    <s v="7S"/>
    <s v="GO"/>
    <s v="JD"/>
    <s v="5C"/>
    <s v="GO"/>
    <s v="GO"/>
    <n v="5"/>
    <n v="10"/>
    <m/>
    <n v="15"/>
    <n v="91"/>
  </r>
  <r>
    <x v="1"/>
    <x v="0"/>
    <n v="6"/>
    <s v="8D"/>
    <n v="8"/>
    <s v="D"/>
    <s v="9D"/>
    <n v="9"/>
    <s v="D"/>
    <s v="5H"/>
    <n v="5"/>
    <s v="H"/>
    <s v="5S"/>
    <s v="QC"/>
    <s v="GO"/>
    <s v="5D"/>
    <s v="3S"/>
    <s v="GO"/>
    <s v="GO"/>
    <n v="0"/>
    <n v="14"/>
    <n v="14"/>
    <n v="28"/>
    <n v="104"/>
  </r>
  <r>
    <x v="0"/>
    <x v="0"/>
    <n v="7"/>
    <s v="QC"/>
    <s v="Q"/>
    <s v="C"/>
    <s v="QS"/>
    <s v="Q"/>
    <s v="S"/>
    <s v="4D"/>
    <n v="4"/>
    <s v="D"/>
    <s v="6H"/>
    <s v="KD"/>
    <s v="AH"/>
    <s v="GO"/>
    <s v="5S"/>
    <s v="GO"/>
    <s v="GO"/>
    <n v="3"/>
    <n v="4"/>
    <n v="2"/>
    <n v="9"/>
    <n v="100"/>
  </r>
  <r>
    <x v="1"/>
    <x v="0"/>
    <n v="7"/>
    <s v="9C"/>
    <n v="9"/>
    <s v="C"/>
    <s v="3D"/>
    <n v="3"/>
    <s v="D"/>
    <s v="4D"/>
    <n v="4"/>
    <s v="D"/>
    <s v="3C"/>
    <s v="8H"/>
    <s v="GO"/>
    <s v="5D"/>
    <s v="10D"/>
    <s v="GO"/>
    <s v="GO"/>
    <n v="1"/>
    <n v="12"/>
    <m/>
    <n v="13"/>
    <n v="117"/>
  </r>
  <r>
    <x v="0"/>
    <x v="0"/>
    <n v="8"/>
    <s v="AD"/>
    <s v="A"/>
    <s v="D"/>
    <s v="9H"/>
    <n v="9"/>
    <s v="H"/>
    <s v="AH"/>
    <s v="A"/>
    <s v="H"/>
    <s v="KD"/>
    <s v="QS"/>
    <s v="GO"/>
    <s v="GO"/>
    <s v="5D"/>
    <s v="GO"/>
    <s v="GO"/>
    <n v="4"/>
    <n v="6"/>
    <m/>
    <n v="10"/>
    <n v="110"/>
  </r>
  <r>
    <x v="1"/>
    <x v="0"/>
    <n v="8"/>
    <s v="JH"/>
    <s v="J"/>
    <s v="H"/>
    <s v="8S"/>
    <n v="8"/>
    <s v="S"/>
    <s v="AH"/>
    <s v="A"/>
    <s v="H"/>
    <s v="5H"/>
    <s v="5C"/>
    <s v="GO"/>
    <s v="6D"/>
    <s v="5S"/>
    <s v="GO"/>
    <s v="GO"/>
    <n v="0"/>
    <n v="8"/>
    <n v="3"/>
    <n v="11"/>
    <n v="125"/>
  </r>
  <r>
    <x v="0"/>
    <x v="1"/>
    <n v="1"/>
    <s v="KD"/>
    <s v="K"/>
    <s v="D"/>
    <s v="7S"/>
    <n v="7"/>
    <s v="S"/>
    <s v="AD"/>
    <s v="A"/>
    <s v="D"/>
    <s v="3C"/>
    <s v="2C"/>
    <s v="2H"/>
    <s v="4D"/>
    <s v="GO"/>
    <s v="GO"/>
    <s v="GO"/>
    <n v="7"/>
    <n v="10"/>
    <n v="4"/>
    <n v="21"/>
    <n v="21"/>
  </r>
  <r>
    <x v="1"/>
    <x v="1"/>
    <n v="1"/>
    <s v="AH"/>
    <s v="A"/>
    <s v="H"/>
    <s v="8C"/>
    <n v="8"/>
    <s v="C"/>
    <s v="AD"/>
    <s v="A"/>
    <s v="D"/>
    <s v="3D"/>
    <s v="2D"/>
    <s v="JH"/>
    <s v="GO"/>
    <s v="QH"/>
    <s v="GO"/>
    <s v="GO"/>
    <n v="4"/>
    <n v="7"/>
    <n v="0"/>
    <n v="11"/>
    <n v="11"/>
  </r>
  <r>
    <x v="0"/>
    <x v="1"/>
    <n v="2"/>
    <s v="7H"/>
    <n v="7"/>
    <s v="H"/>
    <s v="2H"/>
    <n v="2"/>
    <s v="H"/>
    <s v="KD"/>
    <s v="K"/>
    <s v="D"/>
    <s v="8H"/>
    <s v="5S"/>
    <s v="GO"/>
    <s v="QC"/>
    <s v="GO"/>
    <s v="QD"/>
    <s v="GO"/>
    <n v="4"/>
    <n v="8"/>
    <m/>
    <n v="12"/>
    <n v="33"/>
  </r>
  <r>
    <x v="1"/>
    <x v="1"/>
    <n v="2"/>
    <s v="4D"/>
    <n v="4"/>
    <s v="D"/>
    <s v="4S"/>
    <n v="4"/>
    <s v="S"/>
    <s v="KD"/>
    <s v="K"/>
    <s v="D"/>
    <s v="7D"/>
    <s v="8D"/>
    <s v="GO"/>
    <s v="8S"/>
    <s v="9S"/>
    <s v="GO"/>
    <s v="GO"/>
    <n v="3"/>
    <n v="12"/>
    <n v="4"/>
    <n v="19"/>
    <n v="30"/>
  </r>
  <r>
    <x v="0"/>
    <x v="1"/>
    <n v="3"/>
    <s v="4C"/>
    <n v="4"/>
    <s v="C"/>
    <s v="KS"/>
    <s v="K"/>
    <s v="S"/>
    <s v="4D"/>
    <n v="4"/>
    <s v="D"/>
    <s v="8S"/>
    <s v="7H"/>
    <s v="2H"/>
    <s v="GO"/>
    <s v="7C"/>
    <s v="GO"/>
    <s v="GO"/>
    <n v="3"/>
    <n v="6"/>
    <n v="6"/>
    <n v="15"/>
    <n v="48"/>
  </r>
  <r>
    <x v="1"/>
    <x v="1"/>
    <n v="3"/>
    <s v="JC"/>
    <s v="J"/>
    <s v="C"/>
    <s v="4S"/>
    <n v="4"/>
    <s v="S"/>
    <s v="4D"/>
    <n v="4"/>
    <s v="D"/>
    <s v="9S"/>
    <s v="3S"/>
    <s v="AS"/>
    <s v="GO"/>
    <s v="9D"/>
    <s v="GO"/>
    <s v="GO"/>
    <n v="4"/>
    <n v="2"/>
    <m/>
    <n v="6"/>
    <n v="36"/>
  </r>
  <r>
    <x v="0"/>
    <x v="1"/>
    <n v="4"/>
    <s v="6C"/>
    <n v="6"/>
    <s v="C"/>
    <s v="10H"/>
    <n v="1"/>
    <s v="H"/>
    <s v="AS"/>
    <s v="A"/>
    <s v="S"/>
    <s v="KC"/>
    <s v="3C"/>
    <s v="GO"/>
    <s v="7C"/>
    <s v="10C"/>
    <s v="GO"/>
    <s v="GO"/>
    <n v="5"/>
    <n v="4"/>
    <m/>
    <n v="9"/>
    <n v="57"/>
  </r>
  <r>
    <x v="1"/>
    <x v="1"/>
    <n v="4"/>
    <s v="9S"/>
    <n v="9"/>
    <s v="S"/>
    <s v="AC"/>
    <s v="A"/>
    <s v="C"/>
    <s v="AS"/>
    <s v="A"/>
    <s v="S"/>
    <s v="KH"/>
    <s v="3D"/>
    <s v="5D"/>
    <s v="GO"/>
    <s v="4D"/>
    <s v="GO"/>
    <s v="GO"/>
    <n v="2"/>
    <n v="7"/>
    <n v="4"/>
    <n v="13"/>
    <n v="49"/>
  </r>
  <r>
    <x v="0"/>
    <x v="1"/>
    <n v="5"/>
    <s v="2S"/>
    <n v="2"/>
    <s v="S"/>
    <s v="9C"/>
    <n v="9"/>
    <s v="C"/>
    <s v="AD"/>
    <s v="A"/>
    <s v="D"/>
    <s v="7D"/>
    <s v="6D"/>
    <s v="GO"/>
    <s v="5D"/>
    <s v="10D"/>
    <s v="GO"/>
    <s v="GO"/>
    <n v="4"/>
    <n v="10"/>
    <n v="8"/>
    <n v="22"/>
    <n v="79"/>
  </r>
  <r>
    <x v="1"/>
    <x v="1"/>
    <n v="5"/>
    <s v="3H"/>
    <n v="3"/>
    <s v="H"/>
    <s v="4C"/>
    <n v="4"/>
    <s v="C"/>
    <s v="AD"/>
    <s v="A"/>
    <s v="D"/>
    <s v="8H"/>
    <s v="10H"/>
    <s v="GO"/>
    <s v="KD"/>
    <s v="GO"/>
    <s v="KH"/>
    <s v="GO"/>
    <n v="7"/>
    <n v="2"/>
    <m/>
    <n v="9"/>
    <n v="58"/>
  </r>
  <r>
    <x v="0"/>
    <x v="1"/>
    <n v="6"/>
    <s v="KS"/>
    <s v="K"/>
    <s v="S"/>
    <s v="3D"/>
    <n v="3"/>
    <s v="D"/>
    <s v="6D"/>
    <n v="6"/>
    <s v="D"/>
    <s v="JS"/>
    <s v="9C"/>
    <s v="GO"/>
    <s v="6H"/>
    <s v="6S"/>
    <s v="GO"/>
    <s v="GO"/>
    <n v="3"/>
    <n v="12"/>
    <m/>
    <n v="15"/>
    <n v="94"/>
  </r>
  <r>
    <x v="1"/>
    <x v="1"/>
    <n v="6"/>
    <s v="7C"/>
    <n v="7"/>
    <s v="C"/>
    <s v="7D"/>
    <n v="7"/>
    <s v="D"/>
    <s v="6D"/>
    <n v="6"/>
    <s v="D"/>
    <s v="KC"/>
    <s v="2S"/>
    <s v="GO"/>
    <s v="AC"/>
    <s v="3H"/>
    <s v="GO"/>
    <s v="GO"/>
    <n v="0"/>
    <n v="2"/>
    <n v="2"/>
    <n v="4"/>
    <n v="62"/>
  </r>
  <r>
    <x v="0"/>
    <x v="1"/>
    <n v="7"/>
    <s v="2C"/>
    <n v="2"/>
    <s v="C"/>
    <s v="6H"/>
    <n v="6"/>
    <s v="H"/>
    <s v="10C"/>
    <n v="1"/>
    <s v="C"/>
    <s v="4C"/>
    <s v="QS"/>
    <s v="KS"/>
    <s v="GO"/>
    <s v="4S"/>
    <s v="GO"/>
    <s v="GO"/>
    <n v="1"/>
    <n v="2"/>
    <n v="2"/>
    <n v="5"/>
    <n v="99"/>
  </r>
  <r>
    <x v="1"/>
    <x v="1"/>
    <n v="7"/>
    <s v="10S"/>
    <n v="1"/>
    <s v="S"/>
    <s v="QH"/>
    <s v="Q"/>
    <s v="H"/>
    <s v="10C"/>
    <n v="1"/>
    <s v="C"/>
    <s v="3H"/>
    <s v="3C"/>
    <s v="GO"/>
    <s v="9D"/>
    <s v="6C"/>
    <s v="GO"/>
    <s v="GO"/>
    <n v="1"/>
    <n v="6"/>
    <m/>
    <n v="7"/>
    <n v="69"/>
  </r>
  <r>
    <x v="0"/>
    <x v="1"/>
    <n v="8"/>
    <s v="4H"/>
    <n v="4"/>
    <s v="H"/>
    <s v="QC"/>
    <s v="Q"/>
    <s v="C"/>
    <s v="AC"/>
    <s v="A"/>
    <s v="C"/>
    <s v="10S"/>
    <s v="AD"/>
    <s v="GO"/>
    <s v="8S"/>
    <s v="GO"/>
    <s v="8D"/>
    <s v="GO"/>
    <n v="3"/>
    <n v="4"/>
    <m/>
    <n v="7"/>
    <n v="106"/>
  </r>
  <r>
    <x v="1"/>
    <x v="1"/>
    <n v="8"/>
    <s v="JS"/>
    <s v="J"/>
    <s v="S"/>
    <s v="3S"/>
    <n v="3"/>
    <s v="S"/>
    <s v="AC"/>
    <s v="A"/>
    <s v="C"/>
    <s v="KH"/>
    <s v="10D"/>
    <s v="GO"/>
    <s v="10H"/>
    <s v="KC"/>
    <s v="GO"/>
    <s v="GO"/>
    <n v="3"/>
    <n v="4"/>
    <n v="4"/>
    <n v="11"/>
    <n v="80"/>
  </r>
  <r>
    <x v="0"/>
    <x v="1"/>
    <n v="9"/>
    <s v="7S"/>
    <n v="7"/>
    <s v="S"/>
    <s v="8H"/>
    <n v="8"/>
    <s v="H"/>
    <s v="AD"/>
    <s v="A"/>
    <s v="D"/>
    <s v="4S"/>
    <s v="QD"/>
    <s v="GO"/>
    <s v="3D"/>
    <s v="JD"/>
    <s v="GO"/>
    <s v="GO"/>
    <n v="4"/>
    <n v="8"/>
    <n v="4"/>
    <n v="16"/>
    <n v="122"/>
  </r>
  <r>
    <x v="1"/>
    <x v="1"/>
    <n v="9"/>
    <s v="KS"/>
    <s v="K"/>
    <s v="S"/>
    <s v="AH"/>
    <s v="A"/>
    <s v="H"/>
    <s v="AD"/>
    <s v="A"/>
    <s v="D"/>
    <s v="QH"/>
    <s v="5S"/>
    <s v="GO"/>
    <s v="JH"/>
    <s v="GO"/>
    <s v="10S"/>
    <s v="GO"/>
    <n v="2"/>
    <n v="9"/>
    <m/>
    <n v="11"/>
    <n v="91"/>
  </r>
  <r>
    <x v="1"/>
    <x v="2"/>
    <n v="1"/>
    <s v="4C"/>
    <n v="4"/>
    <s v="C"/>
    <s v="4D"/>
    <n v="4"/>
    <s v="D"/>
    <s v="7H"/>
    <n v="7"/>
    <s v="H"/>
    <s v="8H"/>
    <s v="JH"/>
    <s v="GO"/>
    <s v="10C"/>
    <s v="GO"/>
    <s v="9S"/>
    <s v="GO"/>
    <n v="2"/>
    <n v="7"/>
    <n v="6"/>
    <n v="15"/>
    <n v="15"/>
  </r>
  <r>
    <x v="0"/>
    <x v="2"/>
    <n v="1"/>
    <s v="2S"/>
    <n v="2"/>
    <s v="S"/>
    <s v="9H"/>
    <n v="9"/>
    <s v="H"/>
    <s v="7H"/>
    <n v="7"/>
    <s v="H"/>
    <s v="JS"/>
    <s v="GO"/>
    <s v="JC"/>
    <s v="KC"/>
    <s v="GO"/>
    <s v="4H"/>
    <s v="GO"/>
    <n v="1"/>
    <n v="2"/>
    <n v="0"/>
    <n v="3"/>
    <n v="3"/>
  </r>
  <r>
    <x v="1"/>
    <x v="2"/>
    <n v="2"/>
    <s v="KC"/>
    <s v="K"/>
    <s v="C"/>
    <s v="4D"/>
    <n v="4"/>
    <s v="D"/>
    <s v="7H"/>
    <n v="7"/>
    <s v="H"/>
    <s v="5S"/>
    <s v="10D"/>
    <s v="GO"/>
    <s v="10C"/>
    <s v="JS"/>
    <s v="GO"/>
    <s v="GO"/>
    <n v="4"/>
    <n v="8"/>
    <m/>
    <n v="12"/>
    <n v="27"/>
  </r>
  <r>
    <x v="0"/>
    <x v="2"/>
    <n v="2"/>
    <s v="QC"/>
    <s v="Q"/>
    <s v="C"/>
    <s v="8D"/>
    <n v="8"/>
    <s v="D"/>
    <s v="7H"/>
    <n v="7"/>
    <s v="H"/>
    <s v="4H"/>
    <s v="QD"/>
    <s v="2H"/>
    <s v="GO"/>
    <s v="QH"/>
    <s v="GO"/>
    <s v="GO"/>
    <n v="2"/>
    <n v="2"/>
    <n v="2"/>
    <n v="6"/>
    <n v="9"/>
  </r>
  <r>
    <x v="1"/>
    <x v="2"/>
    <n v="3"/>
    <s v="QH"/>
    <s v="Q"/>
    <s v="H"/>
    <s v="9D"/>
    <n v="9"/>
    <s v="D"/>
    <s v="10C"/>
    <n v="1"/>
    <s v="C"/>
    <s v="2C"/>
    <s v="4S"/>
    <s v="5C"/>
    <s v="3H"/>
    <s v="GO"/>
    <s v="GO"/>
    <s v="GO"/>
    <n v="7"/>
    <n v="8"/>
    <n v="2"/>
    <n v="17"/>
    <n v="44"/>
  </r>
  <r>
    <x v="0"/>
    <x v="2"/>
    <n v="3"/>
    <s v="KC"/>
    <s v="K"/>
    <s v="C"/>
    <s v="QS"/>
    <s v="Q"/>
    <s v="S"/>
    <s v="10C"/>
    <n v="1"/>
    <s v="C"/>
    <s v="4D"/>
    <s v="4H"/>
    <s v="6S"/>
    <s v="GO"/>
    <s v="5S"/>
    <s v="GO"/>
    <s v="GO"/>
    <n v="10"/>
    <n v="14"/>
    <m/>
    <n v="24"/>
    <n v="33"/>
  </r>
  <r>
    <x v="1"/>
    <x v="2"/>
    <n v="4"/>
    <s v="10S"/>
    <n v="1"/>
    <s v="S"/>
    <s v="KS"/>
    <s v="K"/>
    <s v="S"/>
    <s v="7C"/>
    <n v="7"/>
    <s v="C"/>
    <s v="6S"/>
    <s v="7S"/>
    <s v="2S"/>
    <s v="GO"/>
    <s v="QS"/>
    <s v="GO"/>
    <s v="GO"/>
    <n v="5"/>
    <n v="8"/>
    <m/>
    <n v="13"/>
    <n v="57"/>
  </r>
  <r>
    <x v="0"/>
    <x v="2"/>
    <n v="4"/>
    <s v="5D"/>
    <n v="5"/>
    <s v="D"/>
    <s v="KD"/>
    <s v="K"/>
    <s v="D"/>
    <s v="7C"/>
    <n v="7"/>
    <s v="C"/>
    <s v="6D"/>
    <s v="7H"/>
    <s v="GO"/>
    <s v="GO"/>
    <s v="8S"/>
    <s v="9C"/>
    <s v="GO"/>
    <n v="1"/>
    <n v="16"/>
    <n v="8"/>
    <n v="25"/>
    <n v="58"/>
  </r>
  <r>
    <x v="1"/>
    <x v="2"/>
    <n v="5"/>
    <s v="KD"/>
    <s v="K"/>
    <s v="D"/>
    <s v="KS"/>
    <s v="K"/>
    <s v="S"/>
    <s v="9D"/>
    <n v="9"/>
    <s v="D"/>
    <s v="8C"/>
    <s v="7D"/>
    <s v="AC"/>
    <s v="GO"/>
    <s v="2D"/>
    <s v="GO"/>
    <s v="GO"/>
    <n v="2"/>
    <n v="5"/>
    <n v="8"/>
    <n v="15"/>
    <n v="72"/>
  </r>
  <r>
    <x v="0"/>
    <x v="2"/>
    <n v="5"/>
    <s v="AH"/>
    <s v="A"/>
    <s v="H"/>
    <s v="5D"/>
    <n v="5"/>
    <s v="D"/>
    <s v="9D"/>
    <n v="9"/>
    <s v="D"/>
    <s v="8S"/>
    <s v="7S"/>
    <s v="GO"/>
    <s v="AD"/>
    <s v="8D"/>
    <s v="GO"/>
    <s v="GO"/>
    <n v="4"/>
    <n v="12"/>
    <m/>
    <n v="16"/>
    <n v="74"/>
  </r>
  <r>
    <x v="1"/>
    <x v="2"/>
    <n v="6"/>
    <s v="AD"/>
    <s v="A"/>
    <s v="D"/>
    <s v="4H"/>
    <n v="4"/>
    <s v="H"/>
    <s v="5C"/>
    <n v="5"/>
    <s v="C"/>
    <s v="JC"/>
    <s v="GO"/>
    <s v="JH"/>
    <s v="JS"/>
    <s v="GO"/>
    <s v="5S"/>
    <s v="GO"/>
    <n v="2"/>
    <n v="20"/>
    <m/>
    <n v="22"/>
    <n v="94"/>
  </r>
  <r>
    <x v="0"/>
    <x v="2"/>
    <n v="6"/>
    <s v="6C"/>
    <n v="6"/>
    <s v="C"/>
    <s v="6S"/>
    <n v="6"/>
    <s v="S"/>
    <s v="5C"/>
    <n v="5"/>
    <s v="C"/>
    <s v="8C"/>
    <s v="JD"/>
    <s v="GO"/>
    <s v="QH"/>
    <s v="GO"/>
    <s v="10S"/>
    <s v="GO"/>
    <n v="3"/>
    <n v="9"/>
    <n v="12"/>
    <n v="24"/>
    <n v="98"/>
  </r>
  <r>
    <x v="1"/>
    <x v="2"/>
    <n v="7"/>
    <s v="JS"/>
    <s v="J"/>
    <s v="S"/>
    <s v="2D"/>
    <n v="2"/>
    <s v="D"/>
    <s v="JC"/>
    <s v="J"/>
    <s v="C"/>
    <s v="7C"/>
    <s v="8D"/>
    <s v="GO"/>
    <s v="4H"/>
    <s v="4S"/>
    <s v="GO"/>
    <s v="GO"/>
    <n v="10"/>
    <n v="5"/>
    <n v="6"/>
    <n v="21"/>
    <n v="115"/>
  </r>
  <r>
    <x v="0"/>
    <x v="2"/>
    <n v="7"/>
    <s v="JH"/>
    <s v="J"/>
    <s v="H"/>
    <s v="7H"/>
    <n v="7"/>
    <s v="H"/>
    <s v="JC"/>
    <s v="J"/>
    <s v="C"/>
    <s v="6H"/>
    <s v="5D"/>
    <s v="GO"/>
    <s v="4D"/>
    <s v="6S"/>
    <s v="GO"/>
    <s v="GO"/>
    <n v="7"/>
    <n v="14"/>
    <n v="0"/>
    <n v="21"/>
    <n v="119"/>
  </r>
  <r>
    <x v="1"/>
    <x v="2"/>
    <n v="8"/>
    <s v="9D"/>
    <n v="9"/>
    <s v="D"/>
    <s v="10D"/>
    <n v="1"/>
    <s v="D"/>
    <s v="6S"/>
    <n v="6"/>
    <s v="S"/>
    <s v="KC"/>
    <s v="AD"/>
    <s v="GO"/>
    <s v="QS"/>
    <s v="4C"/>
    <s v="GO"/>
    <s v="GO"/>
    <n v="0"/>
    <n v="4"/>
    <m/>
    <n v="4"/>
    <n v="119"/>
  </r>
  <r>
    <x v="0"/>
    <x v="2"/>
    <n v="8"/>
    <s v="7D"/>
    <n v="7"/>
    <s v="D"/>
    <s v="3H"/>
    <n v="3"/>
    <s v="H"/>
    <s v="6S"/>
    <n v="6"/>
    <s v="S"/>
    <s v="8C"/>
    <s v="JH"/>
    <s v="2S"/>
    <s v="GO"/>
    <s v="5C"/>
    <s v="GO"/>
    <s v="GO"/>
    <n v="4"/>
    <n v="4"/>
    <n v="2"/>
    <n v="10"/>
    <n v="119"/>
  </r>
  <r>
    <x v="1"/>
    <x v="2"/>
    <n v="9"/>
    <s v="7D"/>
    <n v="7"/>
    <s v="D"/>
    <s v="QC"/>
    <s v="Q"/>
    <s v="C"/>
    <s v="8H"/>
    <n v="8"/>
    <s v="H"/>
    <s v="7S"/>
    <s v="4C"/>
    <s v="4D"/>
    <s v="GO"/>
    <s v="2C"/>
    <s v="GO"/>
    <s v="GO"/>
    <n v="1"/>
    <n v="6"/>
    <m/>
    <n v="7"/>
    <n v="120"/>
  </r>
  <r>
    <x v="0"/>
    <x v="2"/>
    <n v="9"/>
    <s v="3D"/>
    <n v="3"/>
    <s v="D"/>
    <s v="6S"/>
    <n v="6"/>
    <s v="S"/>
    <s v="8H"/>
    <n v="8"/>
    <s v="H"/>
    <s v="10H"/>
    <s v="5D"/>
    <s v="GO"/>
    <s v="5S"/>
    <s v="3S"/>
    <s v="GO"/>
    <s v="GO"/>
    <n v="0"/>
    <n v="6"/>
    <m/>
    <n v="6"/>
    <n v="119"/>
  </r>
  <r>
    <x v="1"/>
    <x v="3"/>
    <n v="1"/>
    <s v="AC"/>
    <s v="A"/>
    <s v="C"/>
    <s v="8S"/>
    <n v="8"/>
    <s v="S"/>
    <s v="QC"/>
    <s v="Q"/>
    <s v="C"/>
    <s v="JS"/>
    <s v="QH"/>
    <s v="GO"/>
    <s v="QD"/>
    <s v="KC"/>
    <s v="GO"/>
    <s v="GO"/>
    <n v="0"/>
    <n v="15"/>
    <n v="2"/>
    <n v="17"/>
    <n v="17"/>
  </r>
  <r>
    <x v="0"/>
    <x v="3"/>
    <n v="1"/>
    <s v="3D"/>
    <n v="3"/>
    <s v="D"/>
    <s v="8C"/>
    <n v="8"/>
    <s v="C"/>
    <s v="QC"/>
    <s v="Q"/>
    <s v="C"/>
    <s v="5C"/>
    <s v="6D"/>
    <s v="GO"/>
    <s v="4D"/>
    <s v="3H"/>
    <s v="GO"/>
    <s v="GO"/>
    <n v="5"/>
    <n v="8"/>
    <n v="0"/>
    <n v="13"/>
    <n v="13"/>
  </r>
  <r>
    <x v="1"/>
    <x v="3"/>
    <n v="2"/>
    <s v="7C"/>
    <n v="7"/>
    <s v="C"/>
    <s v="9C"/>
    <n v="9"/>
    <s v="C"/>
    <s v="7H"/>
    <n v="7"/>
    <s v="H"/>
    <s v="4H"/>
    <s v="3D"/>
    <s v="GO"/>
    <s v="5S"/>
    <s v="5H"/>
    <s v="GO"/>
    <s v="GO"/>
    <n v="11"/>
    <n v="12"/>
    <m/>
    <n v="23"/>
    <n v="40"/>
  </r>
  <r>
    <x v="0"/>
    <x v="3"/>
    <n v="2"/>
    <s v="AH"/>
    <s v="A"/>
    <s v="H"/>
    <s v="9H"/>
    <n v="9"/>
    <s v="H"/>
    <s v="7H"/>
    <n v="7"/>
    <s v="H"/>
    <s v="4C"/>
    <s v="QC"/>
    <s v="6S"/>
    <s v="GO"/>
    <s v="5D"/>
    <s v="GO"/>
    <s v="GO"/>
    <n v="3"/>
    <n v="8"/>
    <n v="4"/>
    <n v="15"/>
    <n v="28"/>
  </r>
  <r>
    <x v="1"/>
    <x v="3"/>
    <n v="3"/>
    <s v="QC"/>
    <s v="Q"/>
    <s v="C"/>
    <s v="7S"/>
    <n v="7"/>
    <s v="S"/>
    <s v="2C"/>
    <n v="2"/>
    <s v="C"/>
    <s v="10D"/>
    <s v="4C"/>
    <s v="2H"/>
    <s v="GO"/>
    <s v="9H"/>
    <s v="GO"/>
    <s v="GO"/>
    <n v="4"/>
    <n v="4"/>
    <n v="5"/>
    <n v="13"/>
    <n v="53"/>
  </r>
  <r>
    <x v="0"/>
    <x v="3"/>
    <n v="3"/>
    <s v="3H"/>
    <n v="3"/>
    <s v="H"/>
    <s v="AH"/>
    <s v="A"/>
    <s v="H"/>
    <s v="2C"/>
    <n v="2"/>
    <s v="C"/>
    <s v="5D"/>
    <s v="JS"/>
    <s v="GO"/>
    <s v="9D"/>
    <s v="6S"/>
    <s v="GO"/>
    <s v="GO"/>
    <n v="3"/>
    <n v="4"/>
    <m/>
    <n v="7"/>
    <n v="35"/>
  </r>
  <r>
    <x v="1"/>
    <x v="3"/>
    <n v="4"/>
    <s v="QD"/>
    <s v="Q"/>
    <s v="D"/>
    <s v="10D"/>
    <n v="1"/>
    <s v="D"/>
    <s v="6S"/>
    <n v="6"/>
    <s v="S"/>
    <s v="2D"/>
    <s v="7H"/>
    <s v="GO"/>
    <s v="7C"/>
    <s v="AS"/>
    <s v="GO"/>
    <s v="GO"/>
    <n v="1"/>
    <n v="6"/>
    <m/>
    <n v="7"/>
    <n v="60"/>
  </r>
  <r>
    <x v="0"/>
    <x v="3"/>
    <n v="4"/>
    <s v="9D"/>
    <n v="9"/>
    <s v="D"/>
    <s v="6H"/>
    <n v="6"/>
    <s v="H"/>
    <s v="6S"/>
    <n v="6"/>
    <s v="S"/>
    <s v="4C"/>
    <s v="JS"/>
    <s v="8S"/>
    <s v="GO"/>
    <s v="3H"/>
    <s v="GO"/>
    <s v="GO"/>
    <n v="2"/>
    <n v="2"/>
    <n v="4"/>
    <n v="8"/>
    <n v="43"/>
  </r>
  <r>
    <x v="1"/>
    <x v="3"/>
    <n v="5"/>
    <s v="8S"/>
    <n v="8"/>
    <s v="S"/>
    <s v="6H"/>
    <n v="6"/>
    <s v="H"/>
    <s v="3C"/>
    <n v="3"/>
    <s v="C"/>
    <s v="9S"/>
    <s v="10S"/>
    <s v="GO"/>
    <s v="5S"/>
    <s v="KC"/>
    <s v="GO"/>
    <s v="GO"/>
    <n v="4"/>
    <n v="4"/>
    <n v="6"/>
    <n v="14"/>
    <n v="74"/>
  </r>
  <r>
    <x v="0"/>
    <x v="3"/>
    <n v="5"/>
    <s v="AD"/>
    <s v="A"/>
    <s v="D"/>
    <s v="8H"/>
    <n v="8"/>
    <s v="H"/>
    <s v="3C"/>
    <n v="3"/>
    <s v="C"/>
    <s v="JS"/>
    <s v="GO"/>
    <s v="3H"/>
    <s v="5C"/>
    <s v="4C"/>
    <s v="GO"/>
    <s v="GO"/>
    <n v="3"/>
    <n v="10"/>
    <m/>
    <n v="13"/>
    <n v="56"/>
  </r>
  <r>
    <x v="1"/>
    <x v="3"/>
    <n v="6"/>
    <s v="8S"/>
    <n v="8"/>
    <s v="S"/>
    <s v="8H"/>
    <n v="8"/>
    <s v="H"/>
    <s v="AH"/>
    <s v="A"/>
    <s v="H"/>
    <s v="9D"/>
    <s v="JD"/>
    <s v="GO"/>
    <s v="5C"/>
    <s v="AD"/>
    <s v="GO"/>
    <s v="GO"/>
    <n v="3"/>
    <n v="8"/>
    <m/>
    <n v="11"/>
    <n v="85"/>
  </r>
  <r>
    <x v="0"/>
    <x v="3"/>
    <n v="6"/>
    <s v="KC"/>
    <s v="K"/>
    <s v="C"/>
    <s v="KD"/>
    <s v="K"/>
    <s v="D"/>
    <s v="AH"/>
    <s v="A"/>
    <s v="H"/>
    <s v="3C"/>
    <s v="9C"/>
    <s v="GO"/>
    <s v="6H"/>
    <s v="10H"/>
    <s v="GO"/>
    <s v="GO"/>
    <n v="2"/>
    <n v="2"/>
    <n v="4"/>
    <n v="8"/>
    <n v="64"/>
  </r>
  <r>
    <x v="1"/>
    <x v="3"/>
    <n v="7"/>
    <s v="7S"/>
    <n v="7"/>
    <s v="S"/>
    <s v="AC"/>
    <s v="A"/>
    <s v="C"/>
    <s v="6S"/>
    <n v="6"/>
    <s v="S"/>
    <s v="QS"/>
    <s v="JD"/>
    <s v="GO"/>
    <s v="5H"/>
    <s v="5S"/>
    <s v="GO"/>
    <s v="GO"/>
    <n v="3"/>
    <n v="6"/>
    <n v="2"/>
    <n v="11"/>
    <n v="96"/>
  </r>
  <r>
    <x v="0"/>
    <x v="3"/>
    <n v="7"/>
    <s v="QH"/>
    <s v="Q"/>
    <s v="H"/>
    <s v="2H"/>
    <n v="2"/>
    <s v="H"/>
    <s v="6S"/>
    <n v="6"/>
    <s v="S"/>
    <s v="10C"/>
    <s v="AD"/>
    <s v="GO"/>
    <s v="9H"/>
    <s v="6D"/>
    <s v="GO"/>
    <s v="GO"/>
    <n v="3"/>
    <n v="6"/>
    <m/>
    <n v="9"/>
    <n v="73"/>
  </r>
  <r>
    <x v="1"/>
    <x v="3"/>
    <n v="8"/>
    <s v="AS"/>
    <s v="A"/>
    <s v="S"/>
    <s v="9C"/>
    <n v="9"/>
    <s v="C"/>
    <s v="AD"/>
    <s v="A"/>
    <s v="D"/>
    <s v="4C"/>
    <s v="3C"/>
    <s v="5C"/>
    <s v="GO"/>
    <s v="2H"/>
    <s v="GO"/>
    <s v="GO"/>
    <n v="4"/>
    <n v="7"/>
    <n v="2"/>
    <n v="13"/>
    <n v="109"/>
  </r>
  <r>
    <x v="0"/>
    <x v="3"/>
    <n v="8"/>
    <s v="JH"/>
    <s v="J"/>
    <s v="H"/>
    <s v="QS"/>
    <s v="Q"/>
    <s v="S"/>
    <s v="AD"/>
    <s v="A"/>
    <s v="D"/>
    <s v="4S"/>
    <s v="9D"/>
    <s v="6S"/>
    <s v="GO"/>
    <s v="3D"/>
    <s v="GO"/>
    <s v="GO"/>
    <m/>
    <n v="2"/>
    <m/>
    <n v="2"/>
    <n v="75"/>
  </r>
  <r>
    <x v="1"/>
    <x v="3"/>
    <n v="9"/>
    <s v="6S"/>
    <n v="6"/>
    <s v="S"/>
    <s v="10H"/>
    <n v="1"/>
    <s v="H"/>
    <s v="9H"/>
    <n v="9"/>
    <s v="H"/>
    <s v="GO"/>
    <s v="KC"/>
    <s v="2C"/>
    <s v="GO"/>
    <s v="KD"/>
    <s v="AC"/>
    <s v="GO"/>
    <m/>
    <n v="2"/>
    <m/>
    <n v="2"/>
    <n v="111"/>
  </r>
  <r>
    <x v="0"/>
    <x v="3"/>
    <n v="9"/>
    <s v="AH"/>
    <s v="A"/>
    <s v="H"/>
    <s v="2S"/>
    <n v="2"/>
    <s v="S"/>
    <s v="9H"/>
    <n v="9"/>
    <s v="H"/>
    <s v="6C"/>
    <s v="6D"/>
    <s v="7H"/>
    <s v="GO"/>
    <s v="5D"/>
    <s v="GO"/>
    <s v="GO"/>
    <n v="4"/>
    <n v="12"/>
    <n v="2"/>
    <n v="18"/>
    <n v="93"/>
  </r>
  <r>
    <x v="1"/>
    <x v="3"/>
    <n v="10"/>
    <s v="6H"/>
    <n v="6"/>
    <s v="H"/>
    <s v="9D"/>
    <n v="9"/>
    <s v="D"/>
    <s v="KH"/>
    <s v="K"/>
    <s v="H"/>
    <s v="2H"/>
    <s v="5C"/>
    <s v="GO"/>
    <s v="10H"/>
    <s v="10S"/>
    <s v="GO"/>
    <s v="GO"/>
    <n v="3"/>
    <n v="8"/>
    <n v="2"/>
    <n v="13"/>
    <n v="122"/>
  </r>
  <r>
    <x v="0"/>
    <x v="3"/>
    <n v="10"/>
    <s v="3H"/>
    <n v="3"/>
    <s v="H"/>
    <s v="8S"/>
    <n v="8"/>
    <s v="S"/>
    <s v="KH"/>
    <s v="K"/>
    <s v="H"/>
    <s v="GO"/>
    <s v="5D"/>
    <s v="KS"/>
    <s v="GO"/>
    <s v="JH"/>
    <s v="GO"/>
    <s v="QH"/>
    <n v="2"/>
    <n v="16"/>
    <m/>
    <n v="18"/>
    <n v="111"/>
  </r>
  <r>
    <x v="2"/>
    <x v="4"/>
    <n v="1"/>
    <s v="2S"/>
    <n v="2"/>
    <s v="S"/>
    <s v="4H"/>
    <n v="4"/>
    <s v="H"/>
    <s v="6S"/>
    <n v="6"/>
    <s v="S"/>
    <s v="8S"/>
    <s v="JS"/>
    <s v="GO"/>
    <s v="7C"/>
    <s v="QD"/>
    <s v="GO"/>
    <s v="GO"/>
    <n v="5"/>
    <n v="5"/>
    <n v="9"/>
    <n v="19"/>
    <n v="19"/>
  </r>
  <r>
    <x v="0"/>
    <x v="4"/>
    <n v="1"/>
    <s v="3D"/>
    <n v="3"/>
    <s v="D"/>
    <s v="6C"/>
    <n v="6"/>
    <s v="C"/>
    <s v="6S"/>
    <n v="6"/>
    <s v="S"/>
    <s v="JC"/>
    <s v="GO"/>
    <s v="4C"/>
    <s v="KS"/>
    <s v="JD"/>
    <s v="GO"/>
    <s v="GO"/>
    <n v="1"/>
    <n v="2"/>
    <n v="0"/>
    <n v="3"/>
    <n v="3"/>
  </r>
  <r>
    <x v="2"/>
    <x v="4"/>
    <n v="2"/>
    <s v="KC"/>
    <s v="K"/>
    <s v="C"/>
    <s v="2S"/>
    <n v="2"/>
    <s v="S"/>
    <s v="10C"/>
    <n v="1"/>
    <s v="C"/>
    <s v="8S"/>
    <s v="5D"/>
    <s v="GO"/>
    <s v="7C"/>
    <s v="6S"/>
    <s v="GO"/>
    <s v="GO"/>
    <n v="7"/>
    <n v="8"/>
    <m/>
    <n v="15"/>
    <n v="34"/>
  </r>
  <r>
    <x v="0"/>
    <x v="4"/>
    <n v="2"/>
    <s v="7H"/>
    <n v="7"/>
    <s v="H"/>
    <s v="AC"/>
    <s v="A"/>
    <s v="C"/>
    <s v="10C"/>
    <n v="1"/>
    <s v="C"/>
    <s v="7D"/>
    <s v="6D"/>
    <s v="5C"/>
    <s v="GO"/>
    <s v="7S"/>
    <s v="GO"/>
    <s v="GO"/>
    <n v="9"/>
    <n v="8"/>
    <m/>
    <n v="17"/>
    <n v="20"/>
  </r>
  <r>
    <x v="2"/>
    <x v="4"/>
    <n v="3"/>
    <s v="8H"/>
    <n v="8"/>
    <s v="H"/>
    <s v="9C"/>
    <n v="9"/>
    <s v="C"/>
    <s v="QH"/>
    <s v="Q"/>
    <s v="H"/>
    <s v="4H"/>
    <s v="4S"/>
    <s v="AC"/>
    <s v="GO"/>
    <s v="QC"/>
    <s v="GO"/>
    <s v="GO"/>
    <n v="7"/>
    <n v="12"/>
    <m/>
    <n v="19"/>
    <n v="53"/>
  </r>
  <r>
    <x v="0"/>
    <x v="4"/>
    <n v="3"/>
    <s v="3D"/>
    <n v="3"/>
    <s v="D"/>
    <s v="KH"/>
    <s v="K"/>
    <s v="H"/>
    <s v="QH"/>
    <s v="Q"/>
    <s v="H"/>
    <s v="4D"/>
    <s v="QS"/>
    <s v="GO"/>
    <s v="GO"/>
    <s v="JC"/>
    <s v="10S"/>
    <s v="GO"/>
    <n v="6"/>
    <n v="6"/>
    <m/>
    <n v="12"/>
    <n v="32"/>
  </r>
  <r>
    <x v="2"/>
    <x v="4"/>
    <n v="4"/>
    <s v="KC"/>
    <s v="K"/>
    <s v="C"/>
    <s v="6H"/>
    <n v="6"/>
    <s v="H"/>
    <s v="6S"/>
    <n v="6"/>
    <s v="S"/>
    <s v="AS"/>
    <s v="9H"/>
    <s v="5D"/>
    <s v="GO"/>
    <s v="5S"/>
    <s v="GO"/>
    <s v="GO"/>
    <n v="3"/>
    <n v="8"/>
    <m/>
    <n v="11"/>
    <n v="64"/>
  </r>
  <r>
    <x v="0"/>
    <x v="4"/>
    <n v="4"/>
    <s v="10H"/>
    <n v="1"/>
    <s v="H"/>
    <s v="9C"/>
    <n v="9"/>
    <s v="C"/>
    <s v="6S"/>
    <n v="6"/>
    <s v="S"/>
    <s v="2H"/>
    <s v="3D"/>
    <s v="KH"/>
    <s v="GO"/>
    <s v="2D"/>
    <s v="GO"/>
    <s v="GO"/>
    <n v="4"/>
    <n v="6"/>
    <n v="6"/>
    <n v="16"/>
    <n v="48"/>
  </r>
  <r>
    <x v="2"/>
    <x v="4"/>
    <n v="5"/>
    <s v="3C"/>
    <n v="3"/>
    <s v="C"/>
    <s v="AD"/>
    <s v="A"/>
    <s v="D"/>
    <s v="2D"/>
    <n v="2"/>
    <s v="D"/>
    <s v="8H"/>
    <s v="7S"/>
    <s v="GO"/>
    <s v="GO"/>
    <s v="7D"/>
    <s v="6H"/>
    <s v="GO"/>
    <n v="4"/>
    <n v="14"/>
    <n v="2"/>
    <n v="20"/>
    <n v="84"/>
  </r>
  <r>
    <x v="0"/>
    <x v="4"/>
    <n v="5"/>
    <s v="QD"/>
    <s v="Q"/>
    <s v="D"/>
    <s v="8C"/>
    <n v="8"/>
    <s v="C"/>
    <s v="2D"/>
    <n v="2"/>
    <s v="D"/>
    <s v="9S"/>
    <s v="4D"/>
    <s v="2S"/>
    <s v="GO"/>
    <s v="10S"/>
    <s v="GO"/>
    <s v="GO"/>
    <n v="1"/>
    <n v="6"/>
    <m/>
    <n v="7"/>
    <n v="55"/>
  </r>
  <r>
    <x v="2"/>
    <x v="4"/>
    <n v="6"/>
    <s v="QC"/>
    <s v="Q"/>
    <s v="C"/>
    <s v="QS"/>
    <s v="Q"/>
    <s v="S"/>
    <s v="AC"/>
    <s v="A"/>
    <s v="C"/>
    <s v="7S"/>
    <s v="3H"/>
    <s v="GO"/>
    <s v="9C"/>
    <s v="3C"/>
    <s v="GO"/>
    <s v="GO"/>
    <n v="1"/>
    <n v="2"/>
    <m/>
    <n v="3"/>
    <n v="87"/>
  </r>
  <r>
    <x v="0"/>
    <x v="4"/>
    <n v="6"/>
    <s v="2C"/>
    <n v="2"/>
    <s v="C"/>
    <s v="7D"/>
    <n v="7"/>
    <s v="D"/>
    <s v="AC"/>
    <s v="A"/>
    <s v="C"/>
    <s v="KC"/>
    <s v="QD"/>
    <s v="AH"/>
    <s v="GO"/>
    <s v="JD"/>
    <s v="GO"/>
    <s v="GO"/>
    <n v="1"/>
    <n v="8"/>
    <n v="2"/>
    <n v="11"/>
    <n v="66"/>
  </r>
  <r>
    <x v="2"/>
    <x v="4"/>
    <n v="7"/>
    <s v="6C"/>
    <n v="6"/>
    <s v="C"/>
    <s v="2H"/>
    <n v="2"/>
    <s v="H"/>
    <s v="3C"/>
    <n v="3"/>
    <s v="C"/>
    <s v="JD"/>
    <s v="10S"/>
    <s v="AD"/>
    <s v="GO"/>
    <s v="KH"/>
    <s v="GO"/>
    <s v="GO"/>
    <n v="1"/>
    <m/>
    <n v="7"/>
    <n v="8"/>
    <n v="95"/>
  </r>
  <r>
    <x v="0"/>
    <x v="4"/>
    <n v="7"/>
    <s v="10H"/>
    <n v="1"/>
    <s v="H"/>
    <s v="4D"/>
    <n v="4"/>
    <s v="D"/>
    <s v="3C"/>
    <n v="3"/>
    <s v="C"/>
    <s v="5H"/>
    <s v="GO"/>
    <s v="GO"/>
    <s v="8D"/>
    <s v="8S"/>
    <s v="GO"/>
    <s v="JS"/>
    <n v="4"/>
    <n v="4"/>
    <m/>
    <n v="8"/>
    <n v="74"/>
  </r>
  <r>
    <x v="2"/>
    <x v="4"/>
    <n v="8"/>
    <s v="JS"/>
    <s v="J"/>
    <s v="S"/>
    <s v="10H"/>
    <n v="1"/>
    <s v="H"/>
    <s v="6S"/>
    <n v="6"/>
    <s v="S"/>
    <s v="4S"/>
    <s v="3H"/>
    <s v="GO"/>
    <s v="GO"/>
    <s v="7C"/>
    <s v="7D"/>
    <s v="GO"/>
    <n v="7"/>
    <n v="2"/>
    <n v="0"/>
    <n v="9"/>
    <n v="104"/>
  </r>
  <r>
    <x v="0"/>
    <x v="4"/>
    <n v="8"/>
    <s v="QS"/>
    <s v="Q"/>
    <s v="S"/>
    <s v="QC"/>
    <s v="Q"/>
    <s v="C"/>
    <s v="6S"/>
    <n v="6"/>
    <s v="S"/>
    <s v="4D"/>
    <s v="4C"/>
    <s v="10C"/>
    <s v="AH"/>
    <s v="GO"/>
    <s v="GO"/>
    <s v="GO"/>
    <n v="7"/>
    <n v="6"/>
    <n v="8"/>
    <n v="21"/>
    <n v="95"/>
  </r>
  <r>
    <x v="2"/>
    <x v="4"/>
    <n v="9"/>
    <s v="2S"/>
    <n v="2"/>
    <s v="S"/>
    <s v="2C"/>
    <n v="2"/>
    <s v="C"/>
    <s v="KD"/>
    <s v="K"/>
    <s v="D"/>
    <s v="KC"/>
    <s v="9D"/>
    <s v="AS"/>
    <s v="GO"/>
    <s v="5D"/>
    <s v="GO"/>
    <s v="GO"/>
    <n v="3"/>
    <n v="8"/>
    <n v="4"/>
    <n v="15"/>
    <n v="119"/>
  </r>
  <r>
    <x v="0"/>
    <x v="4"/>
    <n v="9"/>
    <s v="7D"/>
    <n v="7"/>
    <s v="D"/>
    <s v="AD"/>
    <s v="A"/>
    <s v="D"/>
    <s v="KD"/>
    <s v="K"/>
    <s v="D"/>
    <s v="10H"/>
    <s v="GO"/>
    <s v="GO"/>
    <s v="10S"/>
    <s v="5S"/>
    <s v="JS"/>
    <s v="GO"/>
    <n v="3"/>
    <n v="10"/>
    <m/>
    <n v="13"/>
    <n v="108"/>
  </r>
  <r>
    <x v="2"/>
    <x v="4"/>
    <n v="10"/>
    <s v="AS"/>
    <s v="A"/>
    <s v="S"/>
    <s v="2D"/>
    <n v="2"/>
    <s v="D"/>
    <s v="5S"/>
    <n v="5"/>
    <s v="S"/>
    <s v="JC"/>
    <s v="7C"/>
    <s v="GO"/>
    <s v="8D"/>
    <s v="5D"/>
    <s v="GO"/>
    <s v="GO"/>
    <n v="1"/>
    <n v="8"/>
    <m/>
    <n v="9"/>
    <n v="120"/>
  </r>
  <r>
    <x v="0"/>
    <x v="4"/>
    <n v="10"/>
    <s v="KS"/>
    <s v="K"/>
    <s v="S"/>
    <s v="KH"/>
    <s v="K"/>
    <s v="H"/>
    <s v="5S"/>
    <n v="5"/>
    <s v="S"/>
    <s v="4C"/>
    <s v="6C"/>
    <s v="4H"/>
    <s v="GO"/>
    <s v="3H"/>
    <s v="GO"/>
    <s v="GO"/>
    <n v="2"/>
    <n v="14"/>
    <n v="6"/>
    <n v="22"/>
    <n v="124"/>
  </r>
  <r>
    <x v="2"/>
    <x v="5"/>
    <n v="1"/>
    <s v="6S"/>
    <n v="6"/>
    <s v="S"/>
    <s v="6H"/>
    <n v="6"/>
    <s v="H"/>
    <s v="9S"/>
    <n v="9"/>
    <s v="S"/>
    <s v="8D"/>
    <s v="5D"/>
    <s v="2D"/>
    <s v="5S"/>
    <s v="GO"/>
    <s v="GO"/>
    <s v="GO"/>
    <n v="2"/>
    <n v="6"/>
    <n v="6"/>
    <n v="14"/>
    <n v="14"/>
  </r>
  <r>
    <x v="0"/>
    <x v="5"/>
    <n v="1"/>
    <s v="7D"/>
    <n v="7"/>
    <s v="D"/>
    <s v="QH"/>
    <s v="Q"/>
    <s v="H"/>
    <s v="9S"/>
    <n v="9"/>
    <s v="S"/>
    <s v="3C"/>
    <s v="2C"/>
    <s v="AD"/>
    <s v="AH"/>
    <s v="GO"/>
    <s v="GO"/>
    <s v="GO"/>
    <n v="1"/>
    <n v="12"/>
    <n v="0"/>
    <n v="13"/>
    <n v="13"/>
  </r>
  <r>
    <x v="2"/>
    <x v="5"/>
    <n v="2"/>
    <s v="8S"/>
    <n v="8"/>
    <s v="S"/>
    <s v="4S"/>
    <n v="4"/>
    <s v="S"/>
    <s v="JH"/>
    <s v="J"/>
    <s v="H"/>
    <s v="10C"/>
    <s v="AC"/>
    <s v="GO"/>
    <s v="QD"/>
    <s v="GO"/>
    <s v="JD"/>
    <s v="GO"/>
    <n v="2"/>
    <n v="8"/>
    <m/>
    <n v="10"/>
    <n v="24"/>
  </r>
  <r>
    <x v="0"/>
    <x v="5"/>
    <n v="2"/>
    <s v="4C"/>
    <n v="4"/>
    <s v="C"/>
    <s v="KH"/>
    <s v="K"/>
    <s v="H"/>
    <s v="JH"/>
    <s v="J"/>
    <s v="H"/>
    <s v="9H"/>
    <s v="7S"/>
    <s v="GO"/>
    <s v="9C"/>
    <s v="6S"/>
    <s v="GO"/>
    <s v="GO"/>
    <n v="2"/>
    <n v="6"/>
    <n v="2"/>
    <n v="10"/>
    <n v="23"/>
  </r>
  <r>
    <x v="2"/>
    <x v="5"/>
    <n v="3"/>
    <s v="QC"/>
    <s v="Q"/>
    <s v="C"/>
    <s v="QS"/>
    <s v="Q"/>
    <s v="S"/>
    <s v="JD"/>
    <s v="J"/>
    <s v="D"/>
    <s v="6H"/>
    <s v="6C"/>
    <s v="9D"/>
    <s v="GO"/>
    <s v="GO"/>
    <s v="7H"/>
    <s v="GO"/>
    <n v="4"/>
    <n v="4"/>
    <n v="6"/>
    <n v="14"/>
    <n v="38"/>
  </r>
  <r>
    <x v="0"/>
    <x v="5"/>
    <n v="3"/>
    <s v="4C"/>
    <n v="4"/>
    <s v="C"/>
    <s v="QD"/>
    <s v="Q"/>
    <s v="D"/>
    <s v="JD"/>
    <s v="J"/>
    <s v="D"/>
    <s v="3S"/>
    <s v="2D"/>
    <s v="AH"/>
    <s v="AD"/>
    <s v="GO"/>
    <s v="GO"/>
    <s v="GO"/>
    <n v="3"/>
    <n v="8"/>
    <m/>
    <n v="11"/>
    <n v="34"/>
  </r>
  <r>
    <x v="2"/>
    <x v="5"/>
    <n v="4"/>
    <s v="7H"/>
    <n v="7"/>
    <s v="H"/>
    <s v="9D"/>
    <n v="9"/>
    <s v="D"/>
    <s v="2H"/>
    <n v="2"/>
    <s v="H"/>
    <s v="3H"/>
    <s v="2D"/>
    <s v="AD"/>
    <s v="AC"/>
    <s v="GO"/>
    <s v="GO"/>
    <s v="GO"/>
    <n v="3"/>
    <n v="14"/>
    <m/>
    <n v="17"/>
    <n v="55"/>
  </r>
  <r>
    <x v="0"/>
    <x v="5"/>
    <n v="4"/>
    <s v="10D"/>
    <n v="1"/>
    <s v="D"/>
    <s v="10C"/>
    <n v="1"/>
    <s v="C"/>
    <s v="2H"/>
    <n v="2"/>
    <s v="H"/>
    <s v="6C"/>
    <s v="7C"/>
    <s v="AH"/>
    <s v="2S"/>
    <s v="GO"/>
    <s v="GO"/>
    <s v="GO"/>
    <m/>
    <n v="4"/>
    <n v="2"/>
    <n v="6"/>
    <n v="40"/>
  </r>
  <r>
    <x v="2"/>
    <x v="5"/>
    <n v="5"/>
    <s v="2D"/>
    <n v="2"/>
    <s v="D"/>
    <s v="3S"/>
    <n v="3"/>
    <s v="S"/>
    <s v="8C"/>
    <n v="8"/>
    <s v="C"/>
    <s v="9S"/>
    <s v="9C"/>
    <s v="6H"/>
    <s v="GO"/>
    <s v="5D"/>
    <s v="GO"/>
    <s v="GO"/>
    <n v="0"/>
    <n v="6"/>
    <n v="6"/>
    <n v="12"/>
    <n v="67"/>
  </r>
  <r>
    <x v="0"/>
    <x v="5"/>
    <n v="5"/>
    <s v="KH"/>
    <s v="K"/>
    <s v="H"/>
    <s v="KD"/>
    <s v="K"/>
    <s v="D"/>
    <s v="8C"/>
    <n v="8"/>
    <s v="C"/>
    <s v="3D"/>
    <s v="3C"/>
    <s v="AD"/>
    <s v="GO"/>
    <s v="2S"/>
    <s v="GO"/>
    <s v="GO"/>
    <n v="3"/>
    <n v="8"/>
    <m/>
    <n v="11"/>
    <n v="51"/>
  </r>
  <r>
    <x v="2"/>
    <x v="5"/>
    <n v="6"/>
    <s v="JC"/>
    <s v="J"/>
    <s v="C"/>
    <s v="KS"/>
    <s v="K"/>
    <s v="S"/>
    <s v="AS"/>
    <s v="A"/>
    <s v="S"/>
    <s v="8C"/>
    <s v="7D"/>
    <s v="AD"/>
    <s v="GO"/>
    <s v="6S"/>
    <s v="GO"/>
    <s v="GO"/>
    <n v="4"/>
    <n v="9"/>
    <n v="0"/>
    <n v="13"/>
    <n v="80"/>
  </r>
  <r>
    <x v="0"/>
    <x v="5"/>
    <n v="6"/>
    <s v="AC"/>
    <s v="A"/>
    <s v="C"/>
    <s v="2S"/>
    <n v="2"/>
    <s v="S"/>
    <s v="AS"/>
    <s v="A"/>
    <s v="S"/>
    <s v="7C"/>
    <s v="8D"/>
    <s v="GO"/>
    <s v="GO"/>
    <s v="8S"/>
    <s v="KD"/>
    <s v="GO"/>
    <n v="3"/>
    <n v="6"/>
    <n v="2"/>
    <n v="11"/>
    <n v="62"/>
  </r>
  <r>
    <x v="2"/>
    <x v="5"/>
    <n v="7"/>
    <s v="6S"/>
    <n v="6"/>
    <s v="S"/>
    <s v="7D"/>
    <n v="7"/>
    <s v="D"/>
    <s v="KS"/>
    <s v="K"/>
    <s v="S"/>
    <s v="4D"/>
    <s v="3C"/>
    <s v="AD"/>
    <s v="AS"/>
    <s v="GO"/>
    <s v="GO"/>
    <s v="GO"/>
    <n v="4"/>
    <n v="8"/>
    <n v="3"/>
    <n v="15"/>
    <n v="95"/>
  </r>
  <r>
    <x v="0"/>
    <x v="5"/>
    <n v="7"/>
    <s v="6H"/>
    <n v="6"/>
    <s v="H"/>
    <s v="JS"/>
    <s v="J"/>
    <s v="S"/>
    <s v="KS"/>
    <s v="K"/>
    <s v="S"/>
    <s v="4C"/>
    <s v="2C"/>
    <s v="8C"/>
    <s v="7C"/>
    <s v="GO"/>
    <s v="GO"/>
    <s v="GO"/>
    <n v="6"/>
    <n v="6"/>
    <m/>
    <n v="12"/>
    <n v="74"/>
  </r>
  <r>
    <x v="2"/>
    <x v="5"/>
    <n v="8"/>
    <s v="3D"/>
    <n v="3"/>
    <s v="D"/>
    <s v="4S"/>
    <n v="4"/>
    <s v="S"/>
    <s v="6S"/>
    <n v="6"/>
    <s v="S"/>
    <s v="JC"/>
    <s v="AD"/>
    <s v="GO"/>
    <s v="QC"/>
    <s v="KH"/>
    <s v="GO"/>
    <s v="GO"/>
    <n v="0"/>
    <n v="3"/>
    <m/>
    <n v="3"/>
    <n v="98"/>
  </r>
  <r>
    <x v="0"/>
    <x v="5"/>
    <n v="8"/>
    <s v="KD"/>
    <s v="K"/>
    <s v="D"/>
    <s v="KC"/>
    <s v="K"/>
    <s v="C"/>
    <s v="6S"/>
    <n v="6"/>
    <s v="S"/>
    <s v="4D"/>
    <s v="8H"/>
    <s v="3C"/>
    <s v="GO"/>
    <s v="6C"/>
    <s v="GO"/>
    <s v="GO"/>
    <n v="1"/>
    <n v="4"/>
    <n v="2"/>
    <n v="7"/>
    <n v="81"/>
  </r>
  <r>
    <x v="2"/>
    <x v="5"/>
    <n v="9"/>
    <s v="8S"/>
    <n v="8"/>
    <s v="S"/>
    <s v="3D"/>
    <n v="3"/>
    <s v="D"/>
    <s v="QS"/>
    <s v="Q"/>
    <s v="S"/>
    <s v="QD"/>
    <s v="QH"/>
    <s v="GO"/>
    <s v="5D"/>
    <s v="AD"/>
    <s v="GO"/>
    <s v="GO"/>
    <m/>
    <n v="12"/>
    <n v="4"/>
    <n v="16"/>
    <n v="11"/>
  </r>
  <r>
    <x v="0"/>
    <x v="5"/>
    <n v="9"/>
    <s v="7S"/>
    <n v="7"/>
    <s v="S"/>
    <s v="QC"/>
    <s v="Q"/>
    <s v="C"/>
    <s v="QS"/>
    <s v="Q"/>
    <s v="S"/>
    <s v="9S"/>
    <s v="2D"/>
    <s v="GO"/>
    <s v="JC"/>
    <s v="4H"/>
    <s v="GO"/>
    <s v="GO"/>
    <n v="4"/>
    <n v="2"/>
    <m/>
    <n v="6"/>
    <n v="87"/>
  </r>
  <r>
    <x v="2"/>
    <x v="5"/>
    <n v="10"/>
    <s v="9D"/>
    <n v="9"/>
    <s v="D"/>
    <s v="9C"/>
    <n v="9"/>
    <s v="C"/>
    <s v="6D"/>
    <n v="6"/>
    <s v="D"/>
    <s v="3D"/>
    <s v="2S"/>
    <s v="KH"/>
    <s v="GO"/>
    <s v="AD"/>
    <s v="GO"/>
    <s v="GO"/>
    <n v="5"/>
    <n v="5"/>
    <m/>
    <n v="10"/>
    <n v="122"/>
  </r>
  <r>
    <x v="0"/>
    <x v="5"/>
    <n v="10"/>
    <s v="KC"/>
    <s v="K"/>
    <s v="C"/>
    <s v="QC"/>
    <s v="Q"/>
    <s v="C"/>
    <s v="6D"/>
    <n v="6"/>
    <s v="D"/>
    <s v="4D"/>
    <s v="6H"/>
    <s v="6S"/>
    <s v="GO"/>
    <s v="2H"/>
    <s v="GO"/>
    <s v="GO"/>
    <m/>
    <n v="6"/>
    <n v="6"/>
    <n v="12"/>
    <n v="93"/>
  </r>
  <r>
    <x v="2"/>
    <x v="6"/>
    <n v="1"/>
    <s v="AD"/>
    <s v="A"/>
    <s v="D"/>
    <s v="2H"/>
    <n v="2"/>
    <s v="H"/>
    <s v="5D"/>
    <n v="5"/>
    <s v="D"/>
    <s v="9C"/>
    <s v="5S"/>
    <s v="GO"/>
    <s v="GO"/>
    <s v="QC"/>
    <s v="JD"/>
    <s v="GO"/>
    <n v="0"/>
    <n v="10"/>
    <m/>
    <n v="10"/>
    <n v="10"/>
  </r>
  <r>
    <x v="0"/>
    <x v="6"/>
    <n v="1"/>
    <s v="JH"/>
    <s v="J"/>
    <s v="H"/>
    <s v="5H"/>
    <n v="5"/>
    <s v="H"/>
    <s v="5D"/>
    <n v="5"/>
    <s v="D"/>
    <s v="8D"/>
    <s v="8H"/>
    <s v="AH"/>
    <s v="GO"/>
    <s v="6S"/>
    <s v="GO"/>
    <s v="GO"/>
    <n v="2"/>
    <n v="6"/>
    <n v="6"/>
    <n v="14"/>
    <n v="14"/>
  </r>
  <r>
    <x v="2"/>
    <x v="6"/>
    <n v="2"/>
    <s v="9H"/>
    <n v="9"/>
    <s v="H"/>
    <s v="9C"/>
    <n v="9"/>
    <s v="C"/>
    <s v="2D"/>
    <n v="2"/>
    <s v="D"/>
    <s v="10D"/>
    <s v="7D"/>
    <s v="4D"/>
    <s v="GO"/>
    <s v="5D"/>
    <s v="GO"/>
    <s v="GO"/>
    <n v="2"/>
    <n v="7"/>
    <n v="4"/>
    <n v="13"/>
    <n v="23"/>
  </r>
  <r>
    <x v="0"/>
    <x v="6"/>
    <n v="2"/>
    <s v="QS"/>
    <s v="Q"/>
    <s v="S"/>
    <s v="3S"/>
    <n v="3"/>
    <s v="S"/>
    <s v="2D"/>
    <n v="2"/>
    <s v="D"/>
    <s v="10C"/>
    <s v="GO"/>
    <s v="GO"/>
    <s v="6S"/>
    <s v="7C"/>
    <s v="8S"/>
    <s v="GO"/>
    <n v="9"/>
    <n v="5"/>
    <m/>
    <n v="14"/>
    <n v="28"/>
  </r>
  <r>
    <x v="2"/>
    <x v="6"/>
    <n v="3"/>
    <s v="7H"/>
    <n v="7"/>
    <s v="H"/>
    <s v="AH"/>
    <s v="A"/>
    <s v="H"/>
    <s v="4C"/>
    <n v="4"/>
    <s v="C"/>
    <s v="KS"/>
    <s v="JH"/>
    <s v="GO"/>
    <s v="JC"/>
    <s v="5C"/>
    <s v="GO"/>
    <s v="GO"/>
    <n v="1"/>
    <n v="8"/>
    <m/>
    <n v="9"/>
    <n v="32"/>
  </r>
  <r>
    <x v="0"/>
    <x v="6"/>
    <n v="3"/>
    <s v="8D"/>
    <n v="8"/>
    <s v="D"/>
    <s v="JS"/>
    <s v="J"/>
    <s v="S"/>
    <s v="4C"/>
    <n v="4"/>
    <s v="C"/>
    <s v="4H"/>
    <s v="3D"/>
    <s v="2D"/>
    <s v="GO"/>
    <s v="6S"/>
    <s v="GO"/>
    <s v="GO"/>
    <n v="1"/>
    <n v="12"/>
    <n v="4"/>
    <n v="17"/>
    <n v="45"/>
  </r>
  <r>
    <x v="2"/>
    <x v="6"/>
    <n v="4"/>
    <s v="AH"/>
    <s v="A"/>
    <s v="H"/>
    <s v="3H"/>
    <n v="3"/>
    <s v="H"/>
    <s v="QS"/>
    <s v="Q"/>
    <s v="S"/>
    <s v="10C"/>
    <s v="QD"/>
    <s v="GO"/>
    <s v="10D"/>
    <s v="GO"/>
    <s v="5S"/>
    <s v="GO"/>
    <n v="1"/>
    <n v="12"/>
    <n v="5"/>
    <n v="18"/>
    <n v="50"/>
  </r>
  <r>
    <x v="0"/>
    <x v="6"/>
    <n v="4"/>
    <s v="2D"/>
    <n v="2"/>
    <s v="D"/>
    <s v="8H"/>
    <n v="8"/>
    <s v="H"/>
    <s v="QS"/>
    <s v="Q"/>
    <s v="S"/>
    <s v="KH"/>
    <s v="GO"/>
    <s v="9H"/>
    <s v="QH"/>
    <s v="GO"/>
    <s v="6C"/>
    <s v="GO"/>
    <n v="1"/>
    <n v="4"/>
    <m/>
    <n v="5"/>
    <n v="50"/>
  </r>
  <r>
    <x v="2"/>
    <x v="6"/>
    <n v="5"/>
    <s v="6C"/>
    <n v="6"/>
    <s v="C"/>
    <s v="2D"/>
    <n v="2"/>
    <s v="D"/>
    <s v="QC"/>
    <s v="Q"/>
    <s v="C"/>
    <s v="5D"/>
    <s v="JS"/>
    <s v="AH"/>
    <s v="GO"/>
    <s v="9C"/>
    <s v="GO"/>
    <s v="GO"/>
    <n v="4"/>
    <n v="4"/>
    <m/>
    <n v="8"/>
    <n v="58"/>
  </r>
  <r>
    <x v="0"/>
    <x v="6"/>
    <n v="5"/>
    <s v="2S"/>
    <n v="2"/>
    <s v="S"/>
    <s v="4S"/>
    <n v="4"/>
    <s v="S"/>
    <s v="QC"/>
    <s v="Q"/>
    <s v="C"/>
    <s v="QS"/>
    <s v="5C"/>
    <s v="GO"/>
    <s v="GO"/>
    <s v="JC"/>
    <s v="KD"/>
    <s v="GO"/>
    <n v="3"/>
    <n v="16"/>
    <n v="2"/>
    <n v="21"/>
    <n v="71"/>
  </r>
  <r>
    <x v="2"/>
    <x v="6"/>
    <n v="6"/>
    <s v="3S"/>
    <n v="3"/>
    <s v="S"/>
    <s v="2S"/>
    <n v="2"/>
    <s v="S"/>
    <s v="8D"/>
    <n v="8"/>
    <s v="D"/>
    <s v="10C"/>
    <s v="5C"/>
    <s v="GO"/>
    <s v="QD"/>
    <s v="6S"/>
    <s v="GO"/>
    <s v="GO"/>
    <n v="4"/>
    <n v="4"/>
    <n v="8"/>
    <n v="16"/>
    <n v="74"/>
  </r>
  <r>
    <x v="0"/>
    <x v="6"/>
    <n v="6"/>
    <s v="2C"/>
    <n v="2"/>
    <s v="C"/>
    <s v="QH"/>
    <s v="Q"/>
    <s v="H"/>
    <s v="8D"/>
    <n v="8"/>
    <s v="D"/>
    <s v="5S"/>
    <s v="9S"/>
    <s v="GO"/>
    <s v="6D"/>
    <s v="6H"/>
    <s v="GO"/>
    <s v="GO"/>
    <n v="9"/>
    <n v="6"/>
    <m/>
    <n v="15"/>
    <n v="86"/>
  </r>
  <r>
    <x v="2"/>
    <x v="6"/>
    <n v="7"/>
    <s v="KH"/>
    <s v="K"/>
    <s v="H"/>
    <s v="7H"/>
    <n v="7"/>
    <s v="H"/>
    <s v="10H"/>
    <n v="1"/>
    <s v="H"/>
    <s v="QC"/>
    <s v="4C"/>
    <s v="GO"/>
    <s v="AH"/>
    <s v="4D"/>
    <s v="GO"/>
    <s v="GO"/>
    <n v="6"/>
    <n v="10"/>
    <n v="0"/>
    <n v="16"/>
    <n v="90"/>
  </r>
  <r>
    <x v="0"/>
    <x v="6"/>
    <n v="7"/>
    <s v="JH"/>
    <s v="J"/>
    <s v="H"/>
    <s v="JC"/>
    <s v="J"/>
    <s v="C"/>
    <s v="10H"/>
    <n v="1"/>
    <s v="H"/>
    <s v="7C"/>
    <s v="KD"/>
    <s v="GO"/>
    <s v="AC"/>
    <s v="9H"/>
    <s v="GO"/>
    <s v="GO"/>
    <n v="0"/>
    <n v="0"/>
    <n v="5"/>
    <n v="5"/>
    <n v="91"/>
  </r>
  <r>
    <x v="2"/>
    <x v="6"/>
    <n v="8"/>
    <s v="8C"/>
    <n v="8"/>
    <s v="C"/>
    <s v="2C"/>
    <n v="2"/>
    <s v="C"/>
    <s v="JD"/>
    <s v="J"/>
    <s v="D"/>
    <s v="KC"/>
    <s v="KS"/>
    <s v="4C"/>
    <s v="AS"/>
    <s v="GO"/>
    <s v="GO"/>
    <s v="GO"/>
    <n v="2"/>
    <n v="8"/>
    <n v="2"/>
    <n v="12"/>
    <n v="102"/>
  </r>
  <r>
    <x v="0"/>
    <x v="6"/>
    <n v="8"/>
    <s v="8S"/>
    <n v="8"/>
    <s v="S"/>
    <s v="AD"/>
    <s v="A"/>
    <s v="D"/>
    <s v="JD"/>
    <s v="J"/>
    <s v="D"/>
    <s v="5D"/>
    <s v="GO"/>
    <s v="GO"/>
    <s v="GO"/>
    <s v="QH"/>
    <s v="JS"/>
    <s v="9C"/>
    <n v="2"/>
    <n v="8"/>
    <m/>
    <n v="10"/>
    <n v="101"/>
  </r>
  <r>
    <x v="2"/>
    <x v="6"/>
    <n v="9"/>
    <s v="AC"/>
    <s v="A"/>
    <s v="C"/>
    <s v="QS"/>
    <s v="Q"/>
    <s v="S"/>
    <s v="6S"/>
    <n v="6"/>
    <s v="S"/>
    <s v="KS"/>
    <s v="GO"/>
    <s v="GO"/>
    <s v="9C"/>
    <s v="KH"/>
    <s v="GO"/>
    <s v="9H"/>
    <n v="2"/>
    <n v="8"/>
    <m/>
    <n v="10"/>
    <n v="112"/>
  </r>
  <r>
    <x v="0"/>
    <x v="6"/>
    <n v="9"/>
    <s v="10C"/>
    <n v="1"/>
    <s v="C"/>
    <s v="8D"/>
    <n v="8"/>
    <s v="D"/>
    <s v="6S"/>
    <n v="6"/>
    <s v="S"/>
    <s v="4C"/>
    <s v="KC"/>
    <s v="3C"/>
    <s v="GO"/>
    <s v="QC"/>
    <s v="GO"/>
    <s v="GO"/>
    <n v="3"/>
    <n v="4"/>
    <n v="2"/>
    <n v="9"/>
    <n v="110"/>
  </r>
  <r>
    <x v="2"/>
    <x v="6"/>
    <n v="10"/>
    <s v="AH"/>
    <s v="A"/>
    <s v="H"/>
    <s v="2S"/>
    <n v="2"/>
    <s v="S"/>
    <s v="8S"/>
    <n v="8"/>
    <s v="S"/>
    <s v="6D"/>
    <s v="5C"/>
    <s v="6S"/>
    <s v="GO"/>
    <s v="GO"/>
    <s v="JD"/>
    <s v="GO"/>
    <n v="9"/>
    <n v="4"/>
    <n v="2"/>
    <n v="15"/>
    <n v="121"/>
  </r>
  <r>
    <x v="0"/>
    <x v="6"/>
    <n v="10"/>
    <s v="6H"/>
    <n v="6"/>
    <s v="H"/>
    <s v="QS"/>
    <s v="Q"/>
    <s v="S"/>
    <s v="8S"/>
    <n v="8"/>
    <s v="S"/>
    <s v="4H"/>
    <s v="3D"/>
    <s v="3H"/>
    <s v="AC"/>
    <s v="GO"/>
    <s v="GO"/>
    <s v="GO"/>
    <n v="5"/>
    <n v="4"/>
    <m/>
    <n v="9"/>
    <n v="114"/>
  </r>
  <r>
    <x v="2"/>
    <x v="7"/>
    <n v="1"/>
    <s v="6C"/>
    <n v="6"/>
    <s v="C"/>
    <s v="7S"/>
    <n v="7"/>
    <s v="S"/>
    <s v="4S"/>
    <n v="4"/>
    <s v="S"/>
    <s v="JC"/>
    <s v="4H"/>
    <s v="GO"/>
    <s v="KS"/>
    <s v="JS"/>
    <s v="GO"/>
    <s v="GO"/>
    <n v="4"/>
    <n v="5"/>
    <m/>
    <n v="9"/>
    <n v="9"/>
  </r>
  <r>
    <x v="0"/>
    <x v="7"/>
    <n v="1"/>
    <s v="7H"/>
    <n v="7"/>
    <s v="H"/>
    <s v="9C"/>
    <n v="9"/>
    <s v="C"/>
    <s v="4S"/>
    <n v="4"/>
    <s v="S"/>
    <s v="7D"/>
    <s v="6D"/>
    <s v="GO"/>
    <s v="5C"/>
    <s v="5D"/>
    <s v="GO"/>
    <s v="GO"/>
    <n v="0"/>
    <n v="14"/>
    <n v="4"/>
    <n v="18"/>
    <n v="18"/>
  </r>
  <r>
    <x v="2"/>
    <x v="7"/>
    <n v="2"/>
    <s v="AS"/>
    <s v="A"/>
    <s v="S"/>
    <s v="4D"/>
    <n v="4"/>
    <s v="D"/>
    <s v="2D"/>
    <n v="2"/>
    <s v="D"/>
    <s v="10D"/>
    <s v="8C"/>
    <s v="GO"/>
    <s v="9C"/>
    <s v="8S"/>
    <s v="GO"/>
    <s v="GO"/>
    <n v="0"/>
    <n v="8"/>
    <n v="8"/>
    <n v="16"/>
    <n v="25"/>
  </r>
  <r>
    <x v="0"/>
    <x v="7"/>
    <n v="2"/>
    <s v="3H"/>
    <n v="3"/>
    <s v="H"/>
    <s v="8D"/>
    <n v="8"/>
    <s v="D"/>
    <s v="2D"/>
    <n v="2"/>
    <s v="D"/>
    <s v="5C"/>
    <s v="6C"/>
    <s v="GO"/>
    <s v="6D"/>
    <s v="6S"/>
    <s v="GO"/>
    <s v="GO"/>
    <n v="6"/>
    <n v="6"/>
    <m/>
    <n v="12"/>
    <n v="30"/>
  </r>
  <r>
    <x v="2"/>
    <x v="7"/>
    <n v="3"/>
    <s v="AC"/>
    <s v="A"/>
    <s v="C"/>
    <s v="6S"/>
    <n v="6"/>
    <s v="S"/>
    <s v="2D"/>
    <n v="2"/>
    <s v="D"/>
    <s v="QH"/>
    <s v="JS"/>
    <s v="GO"/>
    <s v="JC"/>
    <s v="GO"/>
    <s v="10D"/>
    <s v="GO"/>
    <n v="2"/>
    <n v="8"/>
    <m/>
    <n v="10"/>
    <n v="35"/>
  </r>
  <r>
    <x v="0"/>
    <x v="7"/>
    <n v="3"/>
    <s v="AH"/>
    <s v="A"/>
    <s v="H"/>
    <s v="JH"/>
    <s v="J"/>
    <s v="H"/>
    <s v="2D"/>
    <n v="2"/>
    <s v="D"/>
    <s v="4C"/>
    <s v="3D"/>
    <s v="GO"/>
    <s v="7D"/>
    <s v="6D"/>
    <s v="GO"/>
    <s v="GO"/>
    <n v="1"/>
    <n v="11"/>
    <n v="2"/>
    <n v="14"/>
    <n v="44"/>
  </r>
  <r>
    <x v="2"/>
    <x v="7"/>
    <n v="4"/>
    <s v="9H"/>
    <n v="9"/>
    <s v="H"/>
    <s v="9S"/>
    <n v="9"/>
    <s v="S"/>
    <s v="4H"/>
    <n v="4"/>
    <s v="H"/>
    <s v="10H"/>
    <s v="2D"/>
    <s v="2S"/>
    <s v="AS"/>
    <s v="GO"/>
    <s v="GO"/>
    <s v="GO"/>
    <n v="8"/>
    <n v="6"/>
    <n v="6"/>
    <n v="20"/>
    <n v="55"/>
  </r>
  <r>
    <x v="0"/>
    <x v="7"/>
    <n v="4"/>
    <s v="6S"/>
    <n v="6"/>
    <s v="S"/>
    <s v="7C"/>
    <n v="7"/>
    <s v="C"/>
    <s v="4H"/>
    <n v="4"/>
    <s v="H"/>
    <s v="QD"/>
    <s v="2C"/>
    <s v="4S"/>
    <s v="GO"/>
    <s v="3C"/>
    <s v="GO"/>
    <s v="GO"/>
    <n v="3"/>
    <n v="10"/>
    <m/>
    <n v="13"/>
    <n v="57"/>
  </r>
  <r>
    <x v="2"/>
    <x v="7"/>
    <n v="5"/>
    <s v="7H"/>
    <n v="7"/>
    <s v="H"/>
    <s v="6H"/>
    <n v="6"/>
    <s v="H"/>
    <s v="4H"/>
    <n v="4"/>
    <s v="H"/>
    <s v="JC"/>
    <s v="2C"/>
    <s v="AS"/>
    <s v="GO"/>
    <s v="KD"/>
    <s v="GO"/>
    <s v="GO"/>
    <n v="4"/>
    <n v="4"/>
    <m/>
    <n v="8"/>
    <n v="63"/>
  </r>
  <r>
    <x v="0"/>
    <x v="7"/>
    <n v="5"/>
    <s v="6D"/>
    <n v="6"/>
    <s v="D"/>
    <s v="10D"/>
    <n v="1"/>
    <s v="D"/>
    <s v="4H"/>
    <n v="4"/>
    <s v="H"/>
    <s v="4C"/>
    <s v="JS"/>
    <s v="AD"/>
    <s v="GO"/>
    <s v="JD"/>
    <s v="GO"/>
    <s v="GO"/>
    <n v="2"/>
    <n v="12"/>
    <n v="2"/>
    <n v="16"/>
    <n v="73"/>
  </r>
  <r>
    <x v="2"/>
    <x v="7"/>
    <n v="6"/>
    <s v="KC"/>
    <s v="K"/>
    <s v="C"/>
    <s v="2D"/>
    <n v="2"/>
    <s v="D"/>
    <s v="AC"/>
    <s v="A"/>
    <s v="C"/>
    <s v="7S"/>
    <s v="9C"/>
    <s v="GO"/>
    <s v="10H"/>
    <s v="8H"/>
    <s v="GO"/>
    <s v="GO"/>
    <n v="3"/>
    <n v="6"/>
    <n v="2"/>
    <n v="11"/>
    <n v="74"/>
  </r>
  <r>
    <x v="0"/>
    <x v="7"/>
    <n v="6"/>
    <s v="AH"/>
    <s v="A"/>
    <s v="H"/>
    <s v="10D"/>
    <n v="1"/>
    <s v="D"/>
    <s v="AC"/>
    <s v="A"/>
    <s v="C"/>
    <s v="8D"/>
    <s v="6D"/>
    <s v="GO"/>
    <s v="5C"/>
    <s v="7H"/>
    <s v="GO"/>
    <s v="GO"/>
    <n v="10"/>
    <n v="8"/>
    <m/>
    <n v="18"/>
    <n v="91"/>
  </r>
  <r>
    <x v="2"/>
    <x v="7"/>
    <n v="7"/>
    <s v="AH"/>
    <s v="A"/>
    <s v="H"/>
    <s v="2D"/>
    <n v="2"/>
    <s v="D"/>
    <s v="2C"/>
    <n v="2"/>
    <s v="C"/>
    <s v="10D"/>
    <s v="GO"/>
    <s v="10H"/>
    <s v="8D"/>
    <s v="GO"/>
    <s v="7C"/>
    <s v="GO"/>
    <n v="3"/>
    <n v="4"/>
    <m/>
    <n v="7"/>
    <n v="81"/>
  </r>
  <r>
    <x v="0"/>
    <x v="7"/>
    <n v="7"/>
    <s v="4C"/>
    <n v="4"/>
    <s v="C"/>
    <s v="6S"/>
    <n v="6"/>
    <s v="S"/>
    <s v="2C"/>
    <n v="2"/>
    <s v="C"/>
    <s v="10C"/>
    <s v="JS"/>
    <s v="GO"/>
    <s v="KC"/>
    <s v="GO"/>
    <s v="8H"/>
    <s v="GO"/>
    <n v="1"/>
    <n v="0"/>
    <n v="4"/>
    <n v="5"/>
    <n v="96"/>
  </r>
  <r>
    <x v="2"/>
    <x v="7"/>
    <n v="8"/>
    <s v="QC"/>
    <s v="Q"/>
    <s v="C"/>
    <s v="JH"/>
    <s v="J"/>
    <s v="H"/>
    <s v="6S"/>
    <n v="6"/>
    <s v="S"/>
    <s v="8C"/>
    <s v="9C"/>
    <s v="GO"/>
    <s v="7C"/>
    <s v="AC"/>
    <s v="GO"/>
    <s v="GO"/>
    <n v="2"/>
    <n v="12"/>
    <m/>
    <n v="14"/>
    <n v="95"/>
  </r>
  <r>
    <x v="0"/>
    <x v="7"/>
    <n v="8"/>
    <s v="8D"/>
    <n v="8"/>
    <s v="D"/>
    <s v="4C"/>
    <n v="4"/>
    <s v="C"/>
    <s v="6S"/>
    <n v="6"/>
    <s v="S"/>
    <s v="KS"/>
    <s v="GO"/>
    <s v="QS"/>
    <s v="9D"/>
    <s v="GO"/>
    <s v="5H"/>
    <s v="GO"/>
    <n v="1"/>
    <n v="6"/>
    <m/>
    <n v="7"/>
    <n v="103"/>
  </r>
  <r>
    <x v="2"/>
    <x v="7"/>
    <n v="9"/>
    <s v="3C"/>
    <n v="3"/>
    <s v="C"/>
    <s v="3D"/>
    <n v="3"/>
    <s v="D"/>
    <s v="AH"/>
    <s v="A"/>
    <s v="H"/>
    <s v="KD"/>
    <s v="5H"/>
    <s v="GO"/>
    <s v="JC"/>
    <s v="GO"/>
    <s v="QC"/>
    <s v="GO"/>
    <n v="3"/>
    <n v="9"/>
    <m/>
    <n v="12"/>
    <n v="107"/>
  </r>
  <r>
    <x v="0"/>
    <x v="7"/>
    <n v="9"/>
    <s v="6C"/>
    <n v="6"/>
    <s v="C"/>
    <s v="5D"/>
    <n v="5"/>
    <s v="D"/>
    <s v="AH"/>
    <s v="A"/>
    <s v="H"/>
    <s v="7D"/>
    <s v="9D"/>
    <s v="GO"/>
    <s v="8C"/>
    <s v="9H"/>
    <s v="GO"/>
    <s v="GO"/>
    <n v="1"/>
    <n v="8"/>
    <n v="2"/>
    <n v="11"/>
    <n v="114"/>
  </r>
  <r>
    <x v="2"/>
    <x v="7"/>
    <n v="10"/>
    <s v="10S"/>
    <n v="1"/>
    <s v="S"/>
    <s v="JD"/>
    <s v="J"/>
    <s v="D"/>
    <s v="9H"/>
    <n v="9"/>
    <s v="H"/>
    <s v="7S"/>
    <s v="6C"/>
    <s v="4D"/>
    <s v="GO"/>
    <s v="5D"/>
    <s v="GO"/>
    <s v="GO"/>
    <n v="4"/>
    <n v="8"/>
    <n v="10"/>
    <n v="22"/>
    <n v="119"/>
  </r>
  <r>
    <x v="0"/>
    <x v="7"/>
    <n v="10"/>
    <s v="JC"/>
    <s v="J"/>
    <s v="C"/>
    <s v="8C"/>
    <n v="8"/>
    <s v="C"/>
    <s v="9H"/>
    <n v="9"/>
    <s v="H"/>
    <s v="QC"/>
    <s v="4S"/>
    <s v="GO"/>
    <s v="AS"/>
    <s v="QD"/>
    <s v="GO"/>
    <s v="GO"/>
    <n v="1"/>
    <n v="6"/>
    <m/>
    <n v="7"/>
    <n v="121"/>
  </r>
  <r>
    <x v="2"/>
    <x v="8"/>
    <n v="1"/>
    <s v="AD"/>
    <s v="A"/>
    <s v="D"/>
    <s v="AH"/>
    <s v="A"/>
    <s v="H"/>
    <s v="2D"/>
    <n v="2"/>
    <s v="D"/>
    <s v="9S"/>
    <s v="10D"/>
    <s v="GO"/>
    <s v="10C"/>
    <s v="8H"/>
    <s v="GO"/>
    <s v="GO"/>
    <n v="1"/>
    <n v="8"/>
    <n v="8"/>
    <n v="17"/>
    <n v="17"/>
  </r>
  <r>
    <x v="0"/>
    <x v="8"/>
    <n v="1"/>
    <s v="3C"/>
    <n v="3"/>
    <s v="C"/>
    <s v="7D"/>
    <n v="7"/>
    <s v="D"/>
    <s v="2D"/>
    <n v="2"/>
    <s v="D"/>
    <s v="6H"/>
    <s v="5D"/>
    <s v="GO"/>
    <s v="JH"/>
    <s v="GO"/>
    <s v="4D"/>
    <s v="GO"/>
    <n v="4"/>
    <n v="5"/>
    <n v="0"/>
    <n v="9"/>
    <n v="9"/>
  </r>
  <r>
    <x v="2"/>
    <x v="8"/>
    <n v="2"/>
    <s v="10S"/>
    <n v="1"/>
    <s v="S"/>
    <s v="QS"/>
    <s v="Q"/>
    <s v="S"/>
    <s v="5S"/>
    <n v="5"/>
    <s v="S"/>
    <s v="3S"/>
    <s v="4D"/>
    <s v="8H"/>
    <s v="GO"/>
    <s v="4S"/>
    <s v="GO"/>
    <s v="GO"/>
    <n v="4"/>
    <n v="10"/>
    <n v="0"/>
    <n v="14"/>
    <n v="31"/>
  </r>
  <r>
    <x v="0"/>
    <x v="8"/>
    <n v="2"/>
    <s v="5H"/>
    <n v="5"/>
    <s v="H"/>
    <s v="JD"/>
    <s v="J"/>
    <s v="D"/>
    <s v="5S"/>
    <n v="5"/>
    <s v="S"/>
    <s v="3H"/>
    <s v="3D"/>
    <s v="9S"/>
    <s v="GO"/>
    <s v="6D"/>
    <s v="GO"/>
    <s v="GO"/>
    <n v="6"/>
    <n v="6"/>
    <n v="17"/>
    <n v="29"/>
    <n v="38"/>
  </r>
  <r>
    <x v="2"/>
    <x v="8"/>
    <n v="3"/>
    <s v="AD"/>
    <s v="A"/>
    <s v="D"/>
    <s v="7S"/>
    <n v="7"/>
    <s v="S"/>
    <s v="AH"/>
    <s v="A"/>
    <s v="H"/>
    <s v="9C"/>
    <s v="10D"/>
    <s v="GO"/>
    <s v="QD"/>
    <s v="JS"/>
    <s v="GO"/>
    <s v="GO"/>
    <n v="3"/>
    <n v="4"/>
    <n v="6"/>
    <n v="13"/>
    <n v="44"/>
  </r>
  <r>
    <x v="0"/>
    <x v="8"/>
    <n v="3"/>
    <s v="6C"/>
    <n v="6"/>
    <s v="C"/>
    <s v="9H"/>
    <n v="9"/>
    <s v="H"/>
    <s v="AH"/>
    <s v="A"/>
    <s v="H"/>
    <s v="KH"/>
    <s v="AC"/>
    <s v="GO"/>
    <s v="KD"/>
    <s v="GO"/>
    <s v="4H"/>
    <s v="GO"/>
    <n v="2"/>
    <n v="12"/>
    <m/>
    <n v="14"/>
    <n v="52"/>
  </r>
  <r>
    <x v="2"/>
    <x v="8"/>
    <n v="4"/>
    <s v="AD"/>
    <s v="A"/>
    <s v="D"/>
    <s v="2H"/>
    <n v="2"/>
    <s v="H"/>
    <s v="4H"/>
    <n v="4"/>
    <s v="H"/>
    <s v="JC"/>
    <s v="GO"/>
    <s v="6H"/>
    <s v="7S"/>
    <s v="GO"/>
    <s v="QH"/>
    <s v="GO"/>
    <n v="1"/>
    <n v="0"/>
    <m/>
    <n v="1"/>
    <n v="45"/>
  </r>
  <r>
    <x v="0"/>
    <x v="8"/>
    <n v="4"/>
    <s v="QC"/>
    <s v="Q"/>
    <s v="C"/>
    <s v="5C"/>
    <n v="5"/>
    <s v="C"/>
    <s v="4H"/>
    <n v="4"/>
    <s v="H"/>
    <s v="10S"/>
    <s v="JD"/>
    <s v="GO"/>
    <s v="9S"/>
    <s v="5H"/>
    <s v="GO"/>
    <s v="GO"/>
    <n v="5"/>
    <n v="7"/>
    <n v="4"/>
    <n v="16"/>
    <n v="68"/>
  </r>
  <r>
    <x v="2"/>
    <x v="8"/>
    <n v="5"/>
    <s v="10H"/>
    <n v="1"/>
    <s v="H"/>
    <s v="AS"/>
    <s v="A"/>
    <s v="S"/>
    <s v="AC"/>
    <s v="A"/>
    <s v="C"/>
    <s v="8D"/>
    <s v="9D"/>
    <s v="GO"/>
    <s v="QD"/>
    <s v="7D"/>
    <s v="GO"/>
    <s v="GO"/>
    <n v="3"/>
    <n v="9"/>
    <n v="6"/>
    <n v="18"/>
    <n v="63"/>
  </r>
  <r>
    <x v="0"/>
    <x v="8"/>
    <n v="5"/>
    <s v="QS"/>
    <s v="Q"/>
    <s v="S"/>
    <s v="3H"/>
    <n v="3"/>
    <s v="H"/>
    <s v="AC"/>
    <s v="A"/>
    <s v="C"/>
    <s v="9C"/>
    <s v="5D"/>
    <s v="GO"/>
    <s v="10C"/>
    <s v="GO"/>
    <s v="6D"/>
    <s v="GO"/>
    <n v="3"/>
    <n v="4"/>
    <m/>
    <n v="7"/>
    <n v="75"/>
  </r>
  <r>
    <x v="2"/>
    <x v="8"/>
    <n v="6"/>
    <s v="8D"/>
    <n v="8"/>
    <s v="D"/>
    <s v="3H"/>
    <n v="3"/>
    <s v="H"/>
    <s v="9H"/>
    <n v="9"/>
    <s v="H"/>
    <s v="10H"/>
    <s v="AH"/>
    <s v="GO"/>
    <s v="JD"/>
    <s v="JH"/>
    <s v="GO"/>
    <s v="GO"/>
    <n v="3"/>
    <n v="8"/>
    <m/>
    <n v="11"/>
    <n v="74"/>
  </r>
  <r>
    <x v="0"/>
    <x v="8"/>
    <n v="6"/>
    <s v="9D"/>
    <n v="9"/>
    <s v="D"/>
    <s v="6S"/>
    <n v="6"/>
    <s v="S"/>
    <s v="9H"/>
    <n v="9"/>
    <s v="H"/>
    <s v="4H"/>
    <s v="KD"/>
    <s v="GO"/>
    <s v="4S"/>
    <s v="7D"/>
    <s v="GO"/>
    <s v="GO"/>
    <n v="0"/>
    <n v="4"/>
    <n v="6"/>
    <n v="10"/>
    <n v="85"/>
  </r>
  <r>
    <x v="2"/>
    <x v="8"/>
    <n v="7"/>
    <s v="8C"/>
    <n v="8"/>
    <s v="C"/>
    <s v="3C"/>
    <n v="3"/>
    <s v="C"/>
    <s v="6S"/>
    <n v="6"/>
    <s v="S"/>
    <s v="10C"/>
    <s v="QC"/>
    <s v="GO"/>
    <s v="JH"/>
    <s v="GO"/>
    <s v="4H"/>
    <s v="GO"/>
    <n v="3"/>
    <n v="3"/>
    <n v="8"/>
    <n v="14"/>
    <n v="88"/>
  </r>
  <r>
    <x v="0"/>
    <x v="8"/>
    <n v="7"/>
    <s v="6C"/>
    <n v="6"/>
    <s v="C"/>
    <s v="4C"/>
    <n v="4"/>
    <s v="C"/>
    <s v="6S"/>
    <n v="6"/>
    <s v="S"/>
    <s v="KD"/>
    <s v="GO"/>
    <s v="JC"/>
    <s v="JD"/>
    <s v="GO"/>
    <s v="QD"/>
    <s v="GO"/>
    <n v="7"/>
    <n v="8"/>
    <m/>
    <n v="15"/>
    <n v="100"/>
  </r>
  <r>
    <x v="2"/>
    <x v="8"/>
    <n v="8"/>
    <s v="4D"/>
    <n v="4"/>
    <s v="D"/>
    <s v="7S"/>
    <n v="7"/>
    <s v="S"/>
    <s v="5D"/>
    <n v="5"/>
    <s v="D"/>
    <s v="5C"/>
    <s v="GO"/>
    <s v="KD"/>
    <s v="QC"/>
    <s v="GO"/>
    <s v="JC"/>
    <s v="GO"/>
    <n v="7"/>
    <n v="17"/>
    <m/>
    <n v="24"/>
    <n v="112"/>
  </r>
  <r>
    <x v="0"/>
    <x v="8"/>
    <n v="8"/>
    <s v="10D"/>
    <n v="1"/>
    <s v="D"/>
    <s v="AH"/>
    <s v="A"/>
    <s v="H"/>
    <s v="5D"/>
    <n v="5"/>
    <s v="D"/>
    <s v="10H"/>
    <s v="QH"/>
    <s v="GO"/>
    <s v="JD"/>
    <s v="GO"/>
    <s v="JH"/>
    <s v="GO"/>
    <n v="1"/>
    <n v="17"/>
    <n v="4"/>
    <n v="22"/>
    <n v="122"/>
  </r>
  <r>
    <x v="2"/>
    <x v="9"/>
    <n v="1"/>
    <s v="QS"/>
    <s v="Q"/>
    <s v="S"/>
    <s v="3C"/>
    <n v="3"/>
    <s v="C"/>
    <s v="8H"/>
    <n v="8"/>
    <s v="H"/>
    <s v="8C"/>
    <s v="6S"/>
    <s v="7S"/>
    <s v="GO"/>
    <s v="6H"/>
    <s v="GO"/>
    <s v="GO"/>
    <n v="3"/>
    <n v="20"/>
    <n v="2"/>
    <n v="25"/>
    <n v="25"/>
  </r>
  <r>
    <x v="0"/>
    <x v="9"/>
    <n v="1"/>
    <s v="KS"/>
    <s v="K"/>
    <s v="S"/>
    <s v="3H"/>
    <n v="3"/>
    <s v="H"/>
    <s v="8H"/>
    <n v="8"/>
    <s v="H"/>
    <s v="7D"/>
    <s v="2D"/>
    <s v="AD"/>
    <s v="GO"/>
    <s v="5D"/>
    <s v="GO"/>
    <s v="GO"/>
    <n v="4"/>
    <n v="8"/>
    <n v="0"/>
    <n v="12"/>
    <n v="12"/>
  </r>
  <r>
    <x v="2"/>
    <x v="9"/>
    <n v="2"/>
    <s v="8H"/>
    <n v="8"/>
    <s v="H"/>
    <s v="AS"/>
    <s v="A"/>
    <s v="S"/>
    <s v="4H"/>
    <n v="4"/>
    <s v="H"/>
    <s v="4C"/>
    <s v="KD"/>
    <s v="GO"/>
    <s v="QC"/>
    <s v="JC"/>
    <s v="GO"/>
    <s v="GO"/>
    <n v="5"/>
    <n v="5"/>
    <m/>
    <n v="10"/>
    <n v="35"/>
  </r>
  <r>
    <x v="0"/>
    <x v="9"/>
    <n v="2"/>
    <s v="10C"/>
    <n v="1"/>
    <s v="C"/>
    <s v="JH"/>
    <s v="J"/>
    <s v="H"/>
    <s v="4H"/>
    <n v="4"/>
    <s v="H"/>
    <s v="4S"/>
    <s v="9S"/>
    <s v="GO"/>
    <s v="6S"/>
    <s v="5S"/>
    <s v="GO"/>
    <s v="GO"/>
    <n v="0"/>
    <n v="18"/>
    <n v="5"/>
    <n v="23"/>
    <n v="35"/>
  </r>
  <r>
    <x v="2"/>
    <x v="9"/>
    <n v="3"/>
    <s v="10H"/>
    <n v="1"/>
    <s v="H"/>
    <s v="9C"/>
    <n v="9"/>
    <s v="C"/>
    <s v="6H"/>
    <n v="6"/>
    <s v="H"/>
    <s v="8C"/>
    <s v="QS"/>
    <s v="AS"/>
    <s v="GO"/>
    <s v="5S"/>
    <s v="GO"/>
    <s v="GO"/>
    <n v="2"/>
    <n v="8"/>
    <n v="2"/>
    <n v="12"/>
    <n v="47"/>
  </r>
  <r>
    <x v="0"/>
    <x v="9"/>
    <n v="3"/>
    <s v="QH"/>
    <s v="Q"/>
    <s v="H"/>
    <s v="4S"/>
    <n v="4"/>
    <s v="S"/>
    <s v="6H"/>
    <n v="6"/>
    <s v="H"/>
    <s v="7H"/>
    <s v="5H"/>
    <s v="GO"/>
    <s v="3D"/>
    <s v="7D"/>
    <s v="GO"/>
    <s v="GO"/>
    <n v="4"/>
    <n v="16"/>
    <m/>
    <n v="20"/>
    <n v="55"/>
  </r>
  <r>
    <x v="2"/>
    <x v="9"/>
    <n v="4"/>
    <s v="9H"/>
    <n v="9"/>
    <s v="H"/>
    <s v="8D"/>
    <n v="8"/>
    <s v="D"/>
    <s v="6H"/>
    <n v="6"/>
    <s v="H"/>
    <s v="JD"/>
    <s v="JH"/>
    <s v="AD"/>
    <s v="GO"/>
    <s v="5S"/>
    <s v="GO"/>
    <s v="GO"/>
    <n v="4"/>
    <n v="6"/>
    <m/>
    <n v="10"/>
    <n v="57"/>
  </r>
  <r>
    <x v="0"/>
    <x v="9"/>
    <n v="4"/>
    <s v="6S"/>
    <n v="6"/>
    <s v="S"/>
    <s v="3C"/>
    <n v="3"/>
    <s v="C"/>
    <s v="6H"/>
    <n v="6"/>
    <s v="H"/>
    <s v="2C"/>
    <s v="5C"/>
    <s v="AC"/>
    <s v="GO"/>
    <s v="9C"/>
    <s v="GO"/>
    <s v="GO"/>
    <n v="0"/>
    <n v="8"/>
    <n v="6"/>
    <n v="14"/>
    <n v="69"/>
  </r>
  <r>
    <x v="2"/>
    <x v="9"/>
    <n v="5"/>
    <s v="AH"/>
    <s v="A"/>
    <s v="H"/>
    <s v="9C"/>
    <n v="9"/>
    <s v="C"/>
    <s v="5S"/>
    <n v="5"/>
    <s v="S"/>
    <s v="7H"/>
    <s v="10C"/>
    <s v="GO"/>
    <s v="8C"/>
    <s v="7D"/>
    <s v="GO"/>
    <s v="GO"/>
    <n v="1"/>
    <n v="8"/>
    <n v="8"/>
    <n v="17"/>
    <n v="74"/>
  </r>
  <r>
    <x v="0"/>
    <x v="9"/>
    <n v="5"/>
    <s v="QH"/>
    <s v="Q"/>
    <s v="H"/>
    <s v="QS"/>
    <s v="Q"/>
    <s v="S"/>
    <s v="5S"/>
    <n v="5"/>
    <s v="S"/>
    <s v="JD"/>
    <s v="AD"/>
    <s v="GO"/>
    <s v="QC"/>
    <s v="GO"/>
    <s v="KD"/>
    <s v="GO"/>
    <n v="2"/>
    <n v="10"/>
    <m/>
    <n v="12"/>
    <n v="81"/>
  </r>
  <r>
    <x v="2"/>
    <x v="9"/>
    <n v="6"/>
    <s v="10H"/>
    <n v="1"/>
    <s v="H"/>
    <s v="KS"/>
    <s v="K"/>
    <s v="S"/>
    <s v="KC"/>
    <s v="K"/>
    <s v="C"/>
    <s v="9H"/>
    <s v="7H"/>
    <s v="GO"/>
    <s v="8H"/>
    <s v="GO"/>
    <s v="7C"/>
    <s v="GO"/>
    <n v="4"/>
    <n v="12"/>
    <n v="0"/>
    <n v="16"/>
    <n v="90"/>
  </r>
  <r>
    <x v="0"/>
    <x v="9"/>
    <n v="6"/>
    <s v="8S"/>
    <n v="8"/>
    <s v="S"/>
    <s v="2H"/>
    <n v="2"/>
    <s v="H"/>
    <s v="KC"/>
    <s v="K"/>
    <s v="C"/>
    <s v="5S"/>
    <s v="KD"/>
    <s v="GO"/>
    <s v="QD"/>
    <s v="JD"/>
    <s v="GO"/>
    <s v="GO"/>
    <n v="1"/>
    <n v="16"/>
    <n v="2"/>
    <n v="19"/>
    <n v="100"/>
  </r>
  <r>
    <x v="2"/>
    <x v="9"/>
    <n v="7"/>
    <s v="4D"/>
    <n v="4"/>
    <s v="D"/>
    <s v="7H"/>
    <n v="7"/>
    <s v="H"/>
    <s v="6D"/>
    <n v="6"/>
    <s v="D"/>
    <s v="4H"/>
    <s v="3S"/>
    <s v="2D"/>
    <s v="GO"/>
    <s v="5S"/>
    <s v="GO"/>
    <s v="GO"/>
    <n v="0"/>
    <n v="9"/>
    <n v="4"/>
    <n v="13"/>
    <n v="103"/>
  </r>
  <r>
    <x v="0"/>
    <x v="9"/>
    <n v="7"/>
    <s v="9D"/>
    <n v="9"/>
    <s v="D"/>
    <s v="7C"/>
    <n v="7"/>
    <s v="C"/>
    <s v="6D"/>
    <n v="6"/>
    <s v="D"/>
    <s v="JH"/>
    <s v="QC"/>
    <s v="2S"/>
    <s v="GO"/>
    <s v="QH"/>
    <s v="GO"/>
    <s v="GO"/>
    <n v="6"/>
    <n v="2"/>
    <m/>
    <n v="8"/>
    <n v="108"/>
  </r>
  <r>
    <x v="2"/>
    <x v="9"/>
    <n v="8"/>
    <s v="AC"/>
    <s v="A"/>
    <s v="C"/>
    <s v="9C"/>
    <n v="9"/>
    <s v="C"/>
    <s v="3S"/>
    <n v="3"/>
    <s v="S"/>
    <s v="5D"/>
    <s v="6D"/>
    <s v="4D"/>
    <s v="AH"/>
    <s v="GO"/>
    <s v="GO"/>
    <s v="GO"/>
    <n v="4"/>
    <n v="8"/>
    <m/>
    <n v="12"/>
    <n v="115"/>
  </r>
  <r>
    <x v="0"/>
    <x v="9"/>
    <n v="8"/>
    <s v="2H"/>
    <n v="2"/>
    <s v="H"/>
    <s v="7H"/>
    <n v="7"/>
    <s v="H"/>
    <s v="3S"/>
    <n v="3"/>
    <s v="S"/>
    <s v="5H"/>
    <s v="KH"/>
    <s v="GO"/>
    <s v="GO"/>
    <s v="GO"/>
    <s v="KS"/>
    <s v="JS"/>
    <n v="1"/>
    <n v="8"/>
    <n v="5"/>
    <n v="14"/>
    <n v="122"/>
  </r>
  <r>
    <x v="2"/>
    <x v="10"/>
    <n v="1"/>
    <s v="6H"/>
    <n v="6"/>
    <s v="H"/>
    <s v="8D"/>
    <n v="8"/>
    <s v="D"/>
    <s v="2H"/>
    <n v="2"/>
    <s v="H"/>
    <s v="10D"/>
    <s v="5C"/>
    <s v="GO"/>
    <s v="GO"/>
    <s v="JH"/>
    <s v="KS"/>
    <s v="GO"/>
    <n v="1"/>
    <n v="6"/>
    <n v="4"/>
    <n v="11"/>
    <n v="11"/>
  </r>
  <r>
    <x v="0"/>
    <x v="10"/>
    <n v="1"/>
    <s v="3D"/>
    <n v="3"/>
    <s v="D"/>
    <s v="2C"/>
    <n v="2"/>
    <s v="C"/>
    <s v="2H"/>
    <n v="2"/>
    <s v="H"/>
    <s v="QS"/>
    <s v="3S"/>
    <s v="3C"/>
    <s v="GO"/>
    <s v="2S"/>
    <s v="GO"/>
    <s v="GO"/>
    <n v="4"/>
    <n v="12"/>
    <n v="0"/>
    <n v="16"/>
    <n v="16"/>
  </r>
  <r>
    <x v="2"/>
    <x v="10"/>
    <n v="2"/>
    <s v="10D"/>
    <n v="1"/>
    <s v="D"/>
    <s v="QH"/>
    <s v="Q"/>
    <s v="H"/>
    <s v="3S"/>
    <n v="3"/>
    <s v="S"/>
    <s v="6S"/>
    <s v="9H"/>
    <s v="GO"/>
    <s v="8S"/>
    <s v="7S"/>
    <s v="GO"/>
    <s v="GO"/>
    <n v="4"/>
    <n v="8"/>
    <m/>
    <n v="12"/>
    <n v="23"/>
  </r>
  <r>
    <x v="0"/>
    <x v="10"/>
    <n v="2"/>
    <s v="QC"/>
    <s v="Q"/>
    <s v="C"/>
    <s v="KC"/>
    <s v="K"/>
    <s v="C"/>
    <s v="3S"/>
    <n v="3"/>
    <s v="S"/>
    <s v="4S"/>
    <s v="10S"/>
    <s v="2D"/>
    <s v="GO"/>
    <s v="9S"/>
    <s v="GO"/>
    <s v="GO"/>
    <n v="2"/>
    <n v="8"/>
    <n v="2"/>
    <n v="12"/>
    <n v="28"/>
  </r>
  <r>
    <x v="2"/>
    <x v="10"/>
    <n v="3"/>
    <s v="2H"/>
    <n v="2"/>
    <s v="H"/>
    <s v="KH"/>
    <s v="K"/>
    <s v="H"/>
    <s v="6S"/>
    <n v="6"/>
    <s v="S"/>
    <s v="10S"/>
    <s v="QH"/>
    <s v="GO"/>
    <s v="9H"/>
    <s v="GO"/>
    <s v="GO"/>
    <s v="8D"/>
    <n v="3"/>
    <n v="5"/>
    <n v="1"/>
    <n v="9"/>
    <n v="32"/>
  </r>
  <r>
    <x v="0"/>
    <x v="10"/>
    <n v="3"/>
    <s v="10C"/>
    <n v="1"/>
    <s v="C"/>
    <s v="JS"/>
    <s v="J"/>
    <s v="S"/>
    <s v="6S"/>
    <n v="6"/>
    <s v="S"/>
    <s v="10D"/>
    <s v="GO"/>
    <s v="6D"/>
    <s v="9D"/>
    <s v="GO"/>
    <s v="GO"/>
    <s v="JD"/>
    <n v="5"/>
    <n v="10"/>
    <m/>
    <n v="15"/>
    <n v="43"/>
  </r>
  <r>
    <x v="2"/>
    <x v="10"/>
    <n v="4"/>
    <s v="2D"/>
    <n v="2"/>
    <s v="D"/>
    <s v="4S"/>
    <n v="4"/>
    <s v="S"/>
    <s v="6H"/>
    <n v="6"/>
    <s v="H"/>
    <s v="QC"/>
    <s v="8C"/>
    <s v="GO"/>
    <s v="10C"/>
    <s v="6S"/>
    <s v="GO"/>
    <s v="GO"/>
    <n v="3"/>
    <n v="2"/>
    <m/>
    <n v="5"/>
    <n v="37"/>
  </r>
  <r>
    <x v="0"/>
    <x v="10"/>
    <n v="4"/>
    <s v="JH"/>
    <s v="J"/>
    <s v="H"/>
    <s v="JS"/>
    <s v="J"/>
    <s v="S"/>
    <s v="6H"/>
    <n v="6"/>
    <s v="H"/>
    <s v="3S"/>
    <s v="9H"/>
    <s v="GO"/>
    <s v="7D"/>
    <s v="8D"/>
    <s v="GO"/>
    <s v="GO"/>
    <n v="0"/>
    <n v="8"/>
    <n v="3"/>
    <n v="11"/>
    <n v="54"/>
  </r>
  <r>
    <x v="2"/>
    <x v="10"/>
    <n v="5"/>
    <s v="4S"/>
    <n v="4"/>
    <s v="S"/>
    <s v="QC"/>
    <s v="Q"/>
    <s v="C"/>
    <s v="5S"/>
    <n v="5"/>
    <s v="S"/>
    <s v="3H"/>
    <s v="3C"/>
    <s v="AC"/>
    <s v="3S"/>
    <s v="GO"/>
    <s v="GO"/>
    <s v="GO"/>
    <n v="3"/>
    <n v="8"/>
    <n v="4"/>
    <n v="15"/>
    <n v="52"/>
  </r>
  <r>
    <x v="0"/>
    <x v="10"/>
    <n v="5"/>
    <s v="JS"/>
    <s v="J"/>
    <s v="S"/>
    <s v="8H"/>
    <n v="8"/>
    <s v="H"/>
    <s v="5S"/>
    <n v="5"/>
    <s v="S"/>
    <s v="8D"/>
    <s v="AD"/>
    <s v="JD"/>
    <s v="GO"/>
    <s v="4D"/>
    <s v="GO"/>
    <s v="GO"/>
    <n v="3"/>
    <n v="8"/>
    <m/>
    <n v="11"/>
    <n v="65"/>
  </r>
  <r>
    <x v="2"/>
    <x v="10"/>
    <n v="6"/>
    <s v="10H"/>
    <n v="1"/>
    <s v="H"/>
    <s v="AH"/>
    <s v="A"/>
    <s v="H"/>
    <s v="8C"/>
    <n v="8"/>
    <s v="C"/>
    <s v="3H"/>
    <s v="4D"/>
    <s v="6S"/>
    <s v="5D"/>
    <s v="GO"/>
    <s v="GO"/>
    <s v="GO"/>
    <n v="7"/>
    <n v="8"/>
    <m/>
    <n v="15"/>
    <n v="67"/>
  </r>
  <r>
    <x v="0"/>
    <x v="10"/>
    <n v="6"/>
    <s v="QH"/>
    <s v="Q"/>
    <s v="H"/>
    <s v="5H"/>
    <n v="5"/>
    <s v="H"/>
    <s v="8C"/>
    <n v="8"/>
    <s v="C"/>
    <s v="2H"/>
    <s v="AC"/>
    <s v="9H"/>
    <s v="GO"/>
    <s v="GO"/>
    <s v="9D"/>
    <s v="GO"/>
    <n v="3"/>
    <n v="2"/>
    <n v="8"/>
    <n v="13"/>
    <n v="78"/>
  </r>
  <r>
    <x v="2"/>
    <x v="10"/>
    <n v="7"/>
    <s v="AH"/>
    <s v="A"/>
    <s v="H"/>
    <s v="JS"/>
    <s v="J"/>
    <s v="S"/>
    <s v="3S"/>
    <n v="3"/>
    <s v="S"/>
    <s v="8D"/>
    <s v="7D"/>
    <s v="GO"/>
    <s v="GO"/>
    <s v="6S"/>
    <s v="5D"/>
    <s v="GO"/>
    <n v="1"/>
    <n v="8"/>
    <n v="3"/>
    <n v="12"/>
    <n v="79"/>
  </r>
  <r>
    <x v="0"/>
    <x v="10"/>
    <n v="7"/>
    <s v="5S"/>
    <n v="5"/>
    <s v="S"/>
    <s v="8H"/>
    <n v="8"/>
    <s v="H"/>
    <s v="3S"/>
    <n v="3"/>
    <s v="S"/>
    <s v="QD"/>
    <s v="3D"/>
    <s v="2D"/>
    <s v="GO"/>
    <s v="2C"/>
    <s v="GO"/>
    <s v="GO"/>
    <n v="1"/>
    <n v="12"/>
    <m/>
    <n v="13"/>
    <n v="91"/>
  </r>
  <r>
    <x v="2"/>
    <x v="10"/>
    <n v="8"/>
    <s v="7H"/>
    <n v="7"/>
    <s v="H"/>
    <s v="KH"/>
    <s v="K"/>
    <s v="H"/>
    <s v="10S"/>
    <n v="1"/>
    <s v="S"/>
    <s v="4C"/>
    <s v="4S"/>
    <s v="AH"/>
    <s v="GO"/>
    <s v="6C"/>
    <s v="GO"/>
    <s v="GO"/>
    <n v="1"/>
    <n v="10"/>
    <m/>
    <n v="11"/>
    <n v="90"/>
  </r>
  <r>
    <x v="0"/>
    <x v="10"/>
    <n v="8"/>
    <s v="3C"/>
    <n v="3"/>
    <s v="C"/>
    <s v="9C"/>
    <n v="9"/>
    <s v="C"/>
    <s v="10S"/>
    <n v="1"/>
    <s v="S"/>
    <s v="5C"/>
    <s v="KS"/>
    <s v="5H"/>
    <s v="GO"/>
    <s v="QS"/>
    <s v="GO"/>
    <s v="GO"/>
    <m/>
    <n v="12"/>
    <m/>
    <n v="12"/>
    <n v="103"/>
  </r>
  <r>
    <x v="2"/>
    <x v="10"/>
    <n v="9"/>
    <s v="10D"/>
    <n v="1"/>
    <s v="D"/>
    <s v="9S"/>
    <n v="9"/>
    <s v="S"/>
    <s v="8D"/>
    <n v="8"/>
    <s v="D"/>
    <s v="KH"/>
    <s v="8H"/>
    <s v="GO"/>
    <s v="7H"/>
    <s v="5H"/>
    <s v="GO"/>
    <s v="GO"/>
    <n v="2"/>
    <n v="12"/>
    <n v="5"/>
    <n v="19"/>
    <n v="109"/>
  </r>
  <r>
    <x v="0"/>
    <x v="10"/>
    <n v="9"/>
    <s v="QS"/>
    <s v="Q"/>
    <s v="S"/>
    <s v="JH"/>
    <s v="J"/>
    <s v="H"/>
    <s v="8D"/>
    <n v="8"/>
    <s v="D"/>
    <s v="10C"/>
    <s v="GO"/>
    <s v="9H"/>
    <s v="8C"/>
    <s v="GO"/>
    <s v="7D"/>
    <s v="GO"/>
    <n v="4"/>
    <n v="12"/>
    <m/>
    <n v="16"/>
    <n v="119"/>
  </r>
  <r>
    <x v="2"/>
    <x v="10"/>
    <n v="10"/>
    <s v="10D"/>
    <n v="1"/>
    <s v="D"/>
    <s v="JD"/>
    <s v="J"/>
    <s v="D"/>
    <s v="7C"/>
    <n v="7"/>
    <s v="C"/>
    <s v="8H"/>
    <s v="5H"/>
    <s v="4C"/>
    <s v="GO"/>
    <s v="3S"/>
    <s v="GO"/>
    <s v="GO"/>
    <n v="3"/>
    <n v="9"/>
    <m/>
    <n v="12"/>
    <n v="109"/>
  </r>
  <r>
    <x v="0"/>
    <x v="10"/>
    <n v="10"/>
    <s v="QS"/>
    <s v="Q"/>
    <s v="S"/>
    <s v="KH"/>
    <s v="K"/>
    <s v="H"/>
    <s v="7C"/>
    <n v="7"/>
    <s v="C"/>
    <s v="6D"/>
    <s v="8D"/>
    <s v="GO"/>
    <s v="GO"/>
    <s v="9S"/>
    <s v="5D"/>
    <s v="GO"/>
    <n v="3"/>
    <n v="8"/>
    <n v="4"/>
    <n v="15"/>
    <n v="121"/>
  </r>
  <r>
    <x v="2"/>
    <x v="11"/>
    <n v="1"/>
    <s v="6D"/>
    <n v="6"/>
    <s v="D"/>
    <s v="7C"/>
    <n v="7"/>
    <s v="C"/>
    <s v="10C"/>
    <n v="1"/>
    <s v="C"/>
    <s v="KC"/>
    <s v="9C"/>
    <s v="GO"/>
    <s v="GO"/>
    <s v="GO"/>
    <s v="JC"/>
    <s v="QH"/>
    <n v="1"/>
    <n v="5"/>
    <n v="10"/>
    <n v="16"/>
    <n v="16"/>
  </r>
  <r>
    <x v="0"/>
    <x v="11"/>
    <n v="1"/>
    <s v="6H"/>
    <n v="6"/>
    <s v="H"/>
    <s v="8C"/>
    <n v="8"/>
    <s v="C"/>
    <s v="10C"/>
    <n v="1"/>
    <s v="C"/>
    <s v="3S"/>
    <s v="2S"/>
    <s v="AS"/>
    <s v="AD"/>
    <s v="GO"/>
    <s v="GO"/>
    <s v="GO"/>
    <n v="3"/>
    <n v="12"/>
    <n v="0"/>
    <n v="15"/>
    <n v="15"/>
  </r>
  <r>
    <x v="2"/>
    <x v="11"/>
    <n v="2"/>
    <s v="2C"/>
    <n v="2"/>
    <s v="C"/>
    <s v="8C"/>
    <n v="8"/>
    <s v="C"/>
    <s v="QD"/>
    <s v="Q"/>
    <s v="D"/>
    <s v="5S"/>
    <s v="KH"/>
    <s v="GO"/>
    <s v="5D"/>
    <s v="GO"/>
    <s v="QH"/>
    <s v="GO"/>
    <n v="6"/>
    <n v="16"/>
    <m/>
    <n v="22"/>
    <n v="38"/>
  </r>
  <r>
    <x v="0"/>
    <x v="11"/>
    <n v="2"/>
    <s v="2S"/>
    <n v="2"/>
    <s v="S"/>
    <s v="4H"/>
    <n v="4"/>
    <s v="H"/>
    <s v="QD"/>
    <s v="Q"/>
    <s v="D"/>
    <s v="5H"/>
    <s v="10H"/>
    <s v="GO"/>
    <s v="KD"/>
    <s v="QS"/>
    <s v="GO"/>
    <s v="GO"/>
    <n v="1"/>
    <n v="10"/>
    <n v="2"/>
    <n v="13"/>
    <n v="28"/>
  </r>
  <r>
    <x v="2"/>
    <x v="11"/>
    <n v="3"/>
    <s v="9S"/>
    <n v="9"/>
    <s v="S"/>
    <s v="6S"/>
    <n v="6"/>
    <s v="S"/>
    <s v="2S"/>
    <n v="2"/>
    <s v="S"/>
    <s v="4H"/>
    <s v="KC"/>
    <s v="AD"/>
    <s v="GO"/>
    <s v="GO"/>
    <s v="10C"/>
    <s v="GO"/>
    <n v="3"/>
    <n v="4"/>
    <n v="8"/>
    <n v="15"/>
    <n v="53"/>
  </r>
  <r>
    <x v="0"/>
    <x v="11"/>
    <n v="3"/>
    <s v="2D"/>
    <n v="2"/>
    <s v="D"/>
    <s v="7H"/>
    <n v="7"/>
    <s v="H"/>
    <s v="2S"/>
    <n v="2"/>
    <s v="S"/>
    <s v="9D"/>
    <s v="AC"/>
    <s v="AS"/>
    <s v="5C"/>
    <s v="GO"/>
    <s v="GO"/>
    <s v="GO"/>
    <n v="9"/>
    <n v="6"/>
    <m/>
    <n v="15"/>
    <n v="43"/>
  </r>
  <r>
    <x v="2"/>
    <x v="11"/>
    <n v="4"/>
    <s v="9C"/>
    <n v="9"/>
    <s v="C"/>
    <s v="JH"/>
    <s v="J"/>
    <s v="H"/>
    <s v="AD"/>
    <s v="A"/>
    <s v="D"/>
    <s v="6H"/>
    <s v="4D"/>
    <s v="GO"/>
    <s v="7H"/>
    <s v="4S"/>
    <m/>
    <m/>
    <n v="5"/>
    <n v="6"/>
    <n v="0"/>
    <n v="11"/>
    <n v="64"/>
  </r>
  <r>
    <x v="0"/>
    <x v="11"/>
    <n v="4"/>
    <s v="2C"/>
    <n v="2"/>
    <s v="C"/>
    <s v="8D"/>
    <n v="8"/>
    <s v="D"/>
    <s v="AD"/>
    <s v="A"/>
    <s v="D"/>
    <s v="9D"/>
    <s v="10S"/>
    <s v="GO"/>
    <s v="JD"/>
    <s v="JS"/>
    <m/>
    <m/>
    <n v="0"/>
    <n v="9"/>
    <m/>
    <n v="9"/>
    <n v="52"/>
  </r>
  <r>
    <x v="2"/>
    <x v="11"/>
    <n v="5"/>
    <s v="10S"/>
    <n v="1"/>
    <s v="S"/>
    <s v="2S"/>
    <n v="2"/>
    <s v="S"/>
    <s v="8H"/>
    <n v="8"/>
    <s v="H"/>
    <s v="8C"/>
    <s v="7S"/>
    <s v="GO"/>
    <s v="4S"/>
    <s v="3D"/>
    <s v="GO"/>
    <s v="GO"/>
    <n v="0"/>
    <n v="10"/>
    <n v="2"/>
    <n v="12"/>
    <n v="76"/>
  </r>
  <r>
    <x v="0"/>
    <x v="11"/>
    <n v="5"/>
    <s v="2C"/>
    <n v="2"/>
    <s v="C"/>
    <s v="4D"/>
    <n v="4"/>
    <s v="D"/>
    <s v="8H"/>
    <n v="8"/>
    <s v="H"/>
    <s v="10C"/>
    <s v="5C"/>
    <s v="GO"/>
    <s v="4C"/>
    <s v="JC"/>
    <s v="GO"/>
    <s v="GO"/>
    <n v="4"/>
    <n v="8"/>
    <m/>
    <n v="12"/>
    <n v="64"/>
  </r>
  <r>
    <x v="2"/>
    <x v="11"/>
    <n v="6"/>
    <s v="4D"/>
    <n v="4"/>
    <s v="D"/>
    <s v="8D"/>
    <n v="8"/>
    <s v="D"/>
    <s v="3D"/>
    <n v="3"/>
    <s v="D"/>
    <s v="KD"/>
    <s v="KS"/>
    <s v="GO"/>
    <s v="QD"/>
    <s v="5H"/>
    <s v="GO"/>
    <s v="GO"/>
    <n v="3"/>
    <n v="8"/>
    <n v="0"/>
    <n v="11"/>
    <n v="87"/>
  </r>
  <r>
    <x v="0"/>
    <x v="11"/>
    <n v="6"/>
    <s v="AS"/>
    <s v="A"/>
    <s v="S"/>
    <s v="8C"/>
    <n v="8"/>
    <s v="C"/>
    <s v="3D"/>
    <n v="3"/>
    <s v="D"/>
    <s v="2H"/>
    <s v="9H"/>
    <s v="GO"/>
    <s v="2C"/>
    <s v="9C"/>
    <s v="GO"/>
    <s v="GO"/>
    <n v="0"/>
    <n v="4"/>
    <n v="6"/>
    <n v="10"/>
    <n v="74"/>
  </r>
  <r>
    <x v="2"/>
    <x v="11"/>
    <n v="7"/>
    <s v="8D"/>
    <n v="8"/>
    <s v="D"/>
    <s v="3D"/>
    <n v="3"/>
    <s v="D"/>
    <s v="QC"/>
    <s v="Q"/>
    <s v="C"/>
    <s v="10C"/>
    <s v="KC"/>
    <s v="5H"/>
    <s v="GO"/>
    <s v="5D"/>
    <s v="GO"/>
    <s v="GO"/>
    <n v="2"/>
    <n v="12"/>
    <n v="3"/>
    <n v="17"/>
    <n v="104"/>
  </r>
  <r>
    <x v="0"/>
    <x v="11"/>
    <n v="7"/>
    <s v="10S"/>
    <n v="1"/>
    <s v="S"/>
    <s v="JS"/>
    <s v="J"/>
    <s v="S"/>
    <s v="QC"/>
    <s v="Q"/>
    <s v="C"/>
    <s v="3H"/>
    <s v="2D"/>
    <s v="AC"/>
    <s v="GO"/>
    <s v="2H"/>
    <s v="GO"/>
    <s v="GO"/>
    <n v="3"/>
    <n v="12"/>
    <m/>
    <n v="15"/>
    <n v="89"/>
  </r>
  <r>
    <x v="2"/>
    <x v="11"/>
    <n v="8"/>
    <s v="9H"/>
    <n v="9"/>
    <s v="H"/>
    <s v="6C"/>
    <n v="6"/>
    <s v="C"/>
    <s v="2H"/>
    <n v="2"/>
    <s v="H"/>
    <s v="JC"/>
    <s v="GO"/>
    <s v="KS"/>
    <s v="5D"/>
    <s v="GO"/>
    <s v="QC"/>
    <s v="GO"/>
    <n v="2"/>
    <n v="8"/>
    <m/>
    <n v="10"/>
    <n v="114"/>
  </r>
  <r>
    <x v="0"/>
    <x v="11"/>
    <n v="8"/>
    <s v="4D"/>
    <n v="4"/>
    <s v="D"/>
    <s v="4S"/>
    <n v="4"/>
    <s v="S"/>
    <s v="2H"/>
    <n v="2"/>
    <s v="H"/>
    <s v="8C"/>
    <s v="KC"/>
    <s v="GO"/>
    <s v="5H"/>
    <s v="10H"/>
    <s v="GO"/>
    <s v="GO"/>
    <n v="4"/>
    <n v="6"/>
    <n v="10"/>
    <n v="20"/>
    <n v="109"/>
  </r>
  <r>
    <x v="2"/>
    <x v="11"/>
    <n v="9"/>
    <s v="AD"/>
    <s v="A"/>
    <s v="D"/>
    <s v="6C"/>
    <n v="6"/>
    <s v="C"/>
    <s v="10H"/>
    <n v="1"/>
    <s v="H"/>
    <s v="KD"/>
    <s v="JC"/>
    <s v="GO"/>
    <s v="5C"/>
    <s v="GO"/>
    <s v="KS"/>
    <s v="GO"/>
    <n v="4"/>
    <n v="10"/>
    <m/>
    <n v="14"/>
    <n v="128"/>
  </r>
  <r>
    <x v="0"/>
    <x v="11"/>
    <n v="9"/>
    <s v="3C"/>
    <n v="3"/>
    <s v="C"/>
    <s v="7H"/>
    <n v="7"/>
    <s v="H"/>
    <s v="10H"/>
    <n v="1"/>
    <s v="H"/>
    <s v="8D"/>
    <s v="GO"/>
    <s v="JD"/>
    <s v="QD"/>
    <s v="4D"/>
    <s v="GO"/>
    <s v="GO"/>
    <n v="1"/>
    <n v="7"/>
    <m/>
    <n v="8"/>
    <n v="110"/>
  </r>
  <r>
    <x v="0"/>
    <x v="12"/>
    <n v="1"/>
    <s v="JS"/>
    <s v="J"/>
    <s v="S"/>
    <s v="JD"/>
    <s v="J"/>
    <s v="D"/>
    <s v="9D"/>
    <n v="9"/>
    <s v="D"/>
    <s v="2C"/>
    <s v="7H"/>
    <s v="6S"/>
    <s v="GO"/>
    <s v="GO"/>
    <s v="6C"/>
    <s v="GO"/>
    <n v="1"/>
    <n v="10"/>
    <n v="10"/>
    <n v="21"/>
    <n v="21"/>
  </r>
  <r>
    <x v="1"/>
    <x v="12"/>
    <n v="1"/>
    <s v="10C"/>
    <n v="1"/>
    <s v="C"/>
    <s v="8D"/>
    <n v="8"/>
    <s v="D"/>
    <s v="9D"/>
    <n v="9"/>
    <s v="D"/>
    <s v="AD"/>
    <s v="4C"/>
    <s v="QD"/>
    <s v="AH"/>
    <s v="GO"/>
    <s v="GO"/>
    <s v="GO"/>
    <n v="2"/>
    <n v="8"/>
    <n v="0"/>
    <n v="10"/>
    <n v="10"/>
  </r>
  <r>
    <x v="0"/>
    <x v="12"/>
    <n v="2"/>
    <s v="QS"/>
    <s v="Q"/>
    <s v="S"/>
    <s v="2H"/>
    <n v="2"/>
    <s v="H"/>
    <s v="6S"/>
    <n v="6"/>
    <s v="S"/>
    <s v="9C"/>
    <s v="8S"/>
    <s v="AC"/>
    <s v="GO"/>
    <s v="10S"/>
    <s v="GO"/>
    <s v="GO"/>
    <n v="3"/>
    <n v="7"/>
    <m/>
    <n v="10"/>
    <n v="31"/>
  </r>
  <r>
    <x v="1"/>
    <x v="12"/>
    <n v="2"/>
    <s v="KH"/>
    <s v="K"/>
    <s v="H"/>
    <s v="AS"/>
    <s v="A"/>
    <s v="S"/>
    <s v="6S"/>
    <n v="6"/>
    <s v="S"/>
    <s v="6D"/>
    <s v="3C"/>
    <s v="GO"/>
    <s v="GO"/>
    <s v="JH"/>
    <s v="7C"/>
    <s v="GO"/>
    <n v="1"/>
    <n v="4"/>
    <m/>
    <n v="5"/>
    <n v="15"/>
  </r>
  <r>
    <x v="0"/>
    <x v="12"/>
    <n v="3"/>
    <s v="3H"/>
    <n v="3"/>
    <s v="H"/>
    <s v="6S"/>
    <n v="6"/>
    <s v="S"/>
    <s v="7H"/>
    <n v="7"/>
    <s v="H"/>
    <s v="8H"/>
    <s v="10S"/>
    <s v="GO"/>
    <s v="9S"/>
    <s v="9C"/>
    <s v="GO"/>
    <s v="GO"/>
    <n v="7"/>
    <n v="12"/>
    <n v="7"/>
    <n v="26"/>
    <n v="57"/>
  </r>
  <r>
    <x v="1"/>
    <x v="12"/>
    <n v="3"/>
    <s v="2D"/>
    <n v="2"/>
    <s v="D"/>
    <s v="8S"/>
    <n v="8"/>
    <s v="S"/>
    <s v="7H"/>
    <n v="7"/>
    <s v="H"/>
    <s v="JD"/>
    <s v="AC"/>
    <s v="GO"/>
    <s v="9H"/>
    <s v="GO"/>
    <s v="QC"/>
    <s v="GO"/>
    <n v="4"/>
    <n v="0"/>
    <m/>
    <n v="4"/>
    <n v="19"/>
  </r>
  <r>
    <x v="0"/>
    <x v="12"/>
    <n v="4"/>
    <s v="9D"/>
    <n v="9"/>
    <s v="D"/>
    <s v="AS"/>
    <s v="A"/>
    <s v="S"/>
    <s v="QD"/>
    <s v="Q"/>
    <s v="D"/>
    <s v="KH"/>
    <s v="5C"/>
    <s v="AH"/>
    <s v="GO"/>
    <s v="5S"/>
    <s v="GO"/>
    <s v="GO"/>
    <n v="3"/>
    <n v="10"/>
    <m/>
    <n v="13"/>
    <n v="70"/>
  </r>
  <r>
    <x v="1"/>
    <x v="12"/>
    <n v="4"/>
    <s v="8C"/>
    <n v="8"/>
    <s v="C"/>
    <s v="JC"/>
    <s v="J"/>
    <s v="C"/>
    <s v="QD"/>
    <s v="Q"/>
    <s v="D"/>
    <s v="9S"/>
    <s v="6D"/>
    <s v="GO"/>
    <s v="GO"/>
    <s v="3S"/>
    <s v="4C"/>
    <s v="GO"/>
    <n v="4"/>
    <n v="2"/>
    <m/>
    <n v="6"/>
    <n v="25"/>
  </r>
  <r>
    <x v="0"/>
    <x v="12"/>
    <n v="5"/>
    <s v="QS"/>
    <s v="Q"/>
    <s v="S"/>
    <s v="JC"/>
    <s v="J"/>
    <s v="C"/>
    <s v="9D"/>
    <n v="9"/>
    <s v="D"/>
    <s v="3H"/>
    <s v="3D"/>
    <s v="7D"/>
    <s v="AS"/>
    <s v="GO"/>
    <s v="GO"/>
    <s v="GO"/>
    <n v="8"/>
    <n v="4"/>
    <n v="2"/>
    <n v="14"/>
    <n v="84"/>
  </r>
  <r>
    <x v="1"/>
    <x v="12"/>
    <n v="5"/>
    <s v="2H"/>
    <n v="2"/>
    <s v="H"/>
    <s v="QC"/>
    <s v="Q"/>
    <s v="C"/>
    <s v="9D"/>
    <n v="9"/>
    <s v="D"/>
    <s v="3C"/>
    <s v="6C"/>
    <s v="8C"/>
    <s v="GO"/>
    <s v="9C"/>
    <s v="GO"/>
    <s v="GO"/>
    <n v="8"/>
    <n v="10"/>
    <m/>
    <n v="18"/>
    <n v="43"/>
  </r>
  <r>
    <x v="0"/>
    <x v="12"/>
    <n v="6"/>
    <s v="QD"/>
    <s v="Q"/>
    <s v="D"/>
    <s v="QC"/>
    <s v="Q"/>
    <s v="C"/>
    <s v="9H"/>
    <n v="9"/>
    <s v="H"/>
    <s v="8D"/>
    <s v="8S"/>
    <s v="2H"/>
    <s v="GO"/>
    <s v="2C"/>
    <s v="GO"/>
    <s v="GO"/>
    <n v="3"/>
    <n v="4"/>
    <m/>
    <n v="7"/>
    <n v="91"/>
  </r>
  <r>
    <x v="1"/>
    <x v="12"/>
    <n v="6"/>
    <s v="5D"/>
    <n v="5"/>
    <s v="D"/>
    <s v="10D"/>
    <n v="1"/>
    <s v="D"/>
    <s v="9H"/>
    <n v="9"/>
    <s v="H"/>
    <s v="6H"/>
    <s v="7D"/>
    <s v="GO"/>
    <s v="GO"/>
    <s v="9S"/>
    <s v="6S"/>
    <s v="GO"/>
    <n v="4"/>
    <n v="12"/>
    <n v="8"/>
    <n v="24"/>
    <n v="67"/>
  </r>
  <r>
    <x v="0"/>
    <x v="12"/>
    <n v="7"/>
    <s v="KD"/>
    <s v="K"/>
    <s v="D"/>
    <s v="KC"/>
    <s v="K"/>
    <s v="C"/>
    <s v="5H"/>
    <n v="5"/>
    <s v="H"/>
    <s v="4H"/>
    <s v="9S"/>
    <s v="GO"/>
    <s v="9H"/>
    <s v="10H"/>
    <s v="GO"/>
    <s v="GO"/>
    <n v="4"/>
    <n v="8"/>
    <n v="6"/>
    <n v="18"/>
    <n v="109"/>
  </r>
  <r>
    <x v="1"/>
    <x v="12"/>
    <n v="7"/>
    <s v="AD"/>
    <s v="A"/>
    <s v="D"/>
    <s v="7D"/>
    <n v="7"/>
    <s v="D"/>
    <s v="5H"/>
    <n v="5"/>
    <s v="H"/>
    <s v="5C"/>
    <s v="QH"/>
    <s v="GO"/>
    <s v="JS"/>
    <s v="GO"/>
    <s v="QS"/>
    <s v="GO"/>
    <n v="2"/>
    <n v="16"/>
    <m/>
    <n v="18"/>
    <n v="85"/>
  </r>
  <r>
    <x v="0"/>
    <x v="12"/>
    <n v="8"/>
    <s v="10H"/>
    <n v="1"/>
    <s v="H"/>
    <s v="AS"/>
    <s v="A"/>
    <s v="S"/>
    <s v="6D"/>
    <n v="6"/>
    <s v="D"/>
    <s v="JH"/>
    <s v="AC"/>
    <s v="GO"/>
    <s v="8C"/>
    <s v="7D"/>
    <s v="GO"/>
    <s v="GO"/>
    <n v="2"/>
    <n v="5"/>
    <m/>
    <n v="7"/>
    <n v="116"/>
  </r>
  <r>
    <x v="1"/>
    <x v="12"/>
    <n v="8"/>
    <s v="6H"/>
    <n v="6"/>
    <s v="H"/>
    <s v="9H"/>
    <n v="9"/>
    <s v="H"/>
    <s v="6D"/>
    <n v="6"/>
    <s v="D"/>
    <s v="9C"/>
    <s v="QD"/>
    <s v="GO"/>
    <s v="5H"/>
    <s v="5C"/>
    <s v="GO"/>
    <s v="GO"/>
    <n v="0"/>
    <n v="8"/>
    <n v="6"/>
    <n v="14"/>
    <n v="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E5041-64E0-43FB-A3E7-A88EAE059FD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7" firstHeaderRow="0" firstDataRow="1" firstDataCol="1" rowPageCount="1" colPageCount="1"/>
  <pivotFields count="24">
    <pivotField axis="axisRow" showAll="0">
      <items count="4">
        <item x="0"/>
        <item x="2"/>
        <item x="1"/>
        <item t="default"/>
      </items>
    </pivotField>
    <pivotField axis="axisPage" showAll="0">
      <items count="14">
        <item x="4"/>
        <item x="5"/>
        <item x="6"/>
        <item x="7"/>
        <item x="8"/>
        <item x="9"/>
        <item x="10"/>
        <item x="11"/>
        <item x="12"/>
        <item x="2"/>
        <item x="3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Average of roundScore" fld="22" subtotal="average" baseField="0" baseItem="0"/>
    <dataField name="Average of cribPoints" fld="21" subtotal="average" baseField="0" baseItem="0"/>
    <dataField name="Average of handPoints" fld="20" subtotal="average" baseField="0" baseItem="0"/>
    <dataField name="Average of peggedPoints" fld="19" subtotal="average" baseField="0" baseItem="0"/>
    <dataField name="Count of Round" fld="2" subtotal="count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8278-0EA3-4391-9B9E-DCEC8DC5C63C}">
  <dimension ref="A1:F7"/>
  <sheetViews>
    <sheetView workbookViewId="0">
      <selection activeCell="F4" sqref="F4"/>
    </sheetView>
  </sheetViews>
  <sheetFormatPr defaultRowHeight="14.5" x14ac:dyDescent="0.35"/>
  <cols>
    <col min="1" max="1" width="12.453125" bestFit="1" customWidth="1"/>
    <col min="2" max="2" width="19.54296875" bestFit="1" customWidth="1"/>
    <col min="3" max="3" width="18.453125" bestFit="1" customWidth="1"/>
    <col min="4" max="4" width="19.453125" bestFit="1" customWidth="1"/>
    <col min="5" max="5" width="21.26953125" bestFit="1" customWidth="1"/>
    <col min="6" max="6" width="13.81640625" bestFit="1" customWidth="1"/>
    <col min="7" max="7" width="15.26953125" bestFit="1" customWidth="1"/>
  </cols>
  <sheetData>
    <row r="1" spans="1:6" x14ac:dyDescent="0.35">
      <c r="A1" s="1" t="s">
        <v>1</v>
      </c>
      <c r="B1" t="s">
        <v>103</v>
      </c>
    </row>
    <row r="3" spans="1:6" x14ac:dyDescent="0.35">
      <c r="A3" s="1" t="s">
        <v>101</v>
      </c>
      <c r="B3" t="s">
        <v>104</v>
      </c>
      <c r="C3" t="s">
        <v>106</v>
      </c>
      <c r="D3" t="s">
        <v>105</v>
      </c>
      <c r="E3" t="s">
        <v>107</v>
      </c>
      <c r="F3" t="s">
        <v>108</v>
      </c>
    </row>
    <row r="4" spans="1:6" x14ac:dyDescent="0.35">
      <c r="A4" s="2" t="s">
        <v>23</v>
      </c>
      <c r="B4">
        <v>13.092436974789916</v>
      </c>
      <c r="C4">
        <v>4.046875</v>
      </c>
      <c r="D4">
        <v>7.8235294117647056</v>
      </c>
      <c r="E4">
        <v>3.2</v>
      </c>
      <c r="F4">
        <v>119</v>
      </c>
    </row>
    <row r="5" spans="1:6" x14ac:dyDescent="0.35">
      <c r="A5" s="2" t="s">
        <v>90</v>
      </c>
      <c r="B5">
        <v>13.12</v>
      </c>
      <c r="C5">
        <v>4.2380952380952381</v>
      </c>
      <c r="D5">
        <v>7.7972972972972974</v>
      </c>
      <c r="E5">
        <v>3.0945945945945947</v>
      </c>
      <c r="F5">
        <v>75</v>
      </c>
    </row>
    <row r="6" spans="1:6" x14ac:dyDescent="0.35">
      <c r="A6" s="2" t="s">
        <v>36</v>
      </c>
      <c r="B6">
        <v>12.909090909090908</v>
      </c>
      <c r="C6">
        <v>4.2608695652173916</v>
      </c>
      <c r="D6">
        <v>7.6590909090909092</v>
      </c>
      <c r="E6">
        <v>3.0930232558139537</v>
      </c>
      <c r="F6">
        <v>44</v>
      </c>
    </row>
    <row r="7" spans="1:6" x14ac:dyDescent="0.35">
      <c r="A7" s="2" t="s">
        <v>102</v>
      </c>
      <c r="B7">
        <v>13.067226890756302</v>
      </c>
      <c r="C7">
        <v>4.1472868217054266</v>
      </c>
      <c r="D7">
        <v>7.7848101265822782</v>
      </c>
      <c r="E7">
        <v>3.146551724137931</v>
      </c>
      <c r="F7">
        <v>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BFE3-76EF-46CE-ABA5-CD7C704C0A6F}">
  <dimension ref="A1:AE239"/>
  <sheetViews>
    <sheetView tabSelected="1" zoomScale="48" workbookViewId="0">
      <selection activeCell="E12" sqref="E12"/>
    </sheetView>
  </sheetViews>
  <sheetFormatPr defaultRowHeight="14.5" x14ac:dyDescent="0.35"/>
  <cols>
    <col min="4" max="4" width="65.81640625" bestFit="1" customWidth="1"/>
    <col min="21" max="21" width="11.1796875" customWidth="1"/>
    <col min="22" max="22" width="12.54296875" customWidth="1"/>
    <col min="24" max="24" width="13.90625" customWidth="1"/>
  </cols>
  <sheetData>
    <row r="1" spans="1:31" x14ac:dyDescent="0.35">
      <c r="A1" t="s">
        <v>0</v>
      </c>
      <c r="B1" t="s">
        <v>117</v>
      </c>
      <c r="C1" t="s">
        <v>116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110</v>
      </c>
      <c r="W1" t="s">
        <v>111</v>
      </c>
      <c r="X1" t="s">
        <v>112</v>
      </c>
      <c r="Y1" t="s">
        <v>109</v>
      </c>
      <c r="Z1" t="s">
        <v>113</v>
      </c>
      <c r="AA1" t="s">
        <v>19</v>
      </c>
      <c r="AB1" t="s">
        <v>20</v>
      </c>
      <c r="AC1" t="s">
        <v>21</v>
      </c>
      <c r="AD1" t="s">
        <v>100</v>
      </c>
      <c r="AE1" t="s">
        <v>22</v>
      </c>
    </row>
    <row r="2" spans="1:31" x14ac:dyDescent="0.35">
      <c r="A2" t="s">
        <v>23</v>
      </c>
      <c r="B2">
        <v>1</v>
      </c>
      <c r="D2" t="s">
        <v>24</v>
      </c>
      <c r="E2">
        <v>1</v>
      </c>
      <c r="F2" t="s">
        <v>25</v>
      </c>
      <c r="G2">
        <v>5</v>
      </c>
      <c r="H2" t="s">
        <v>26</v>
      </c>
      <c r="I2" t="s">
        <v>27</v>
      </c>
      <c r="J2">
        <v>7</v>
      </c>
      <c r="K2" t="s">
        <v>28</v>
      </c>
      <c r="L2" t="s">
        <v>29</v>
      </c>
      <c r="M2" t="s">
        <v>30</v>
      </c>
      <c r="N2" t="s">
        <v>26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35</v>
      </c>
      <c r="U2" t="s">
        <v>35</v>
      </c>
      <c r="V2" t="str">
        <f>SUBSTITUTE(_xlfn.CONCAT(RIGHT(O2,1),RIGHT(P2,1),RIGHT(Q2,1),RIGHT(R2,1),RIGHT(S2,1),RIGHT(T2,1),RIGHT(U2,1),"-",N2),"O","")</f>
        <v>DDCD-H</v>
      </c>
      <c r="W2">
        <v>0</v>
      </c>
      <c r="Y2" t="str">
        <f>SUBSTITUTE(SUBSTITUTE(_xlfn.CONCAT(LEFT(O2,1),LEFT(P2,1),LEFT(Q2,1),LEFT(R2,1),LEFT(S2,1),LEFT(T2,1),LEFT(U2,1),"-",M2),"G",""),"1","10")</f>
        <v>3K2A-J</v>
      </c>
      <c r="Z2">
        <v>2</v>
      </c>
      <c r="AA2">
        <v>2</v>
      </c>
      <c r="AB2">
        <v>7</v>
      </c>
      <c r="AC2">
        <v>4</v>
      </c>
      <c r="AD2">
        <f t="shared" ref="AD2:AD33" si="0">AA2+AB2+AC2</f>
        <v>13</v>
      </c>
      <c r="AE2">
        <v>13</v>
      </c>
    </row>
    <row r="3" spans="1:31" x14ac:dyDescent="0.35">
      <c r="A3" t="s">
        <v>36</v>
      </c>
      <c r="B3">
        <v>1</v>
      </c>
      <c r="D3" t="s">
        <v>24</v>
      </c>
      <c r="E3">
        <v>1</v>
      </c>
      <c r="F3" t="s">
        <v>37</v>
      </c>
      <c r="G3">
        <v>9</v>
      </c>
      <c r="H3" t="s">
        <v>38</v>
      </c>
      <c r="I3" t="s">
        <v>39</v>
      </c>
      <c r="J3" t="s">
        <v>40</v>
      </c>
      <c r="K3" t="s">
        <v>28</v>
      </c>
      <c r="L3" t="s">
        <v>29</v>
      </c>
      <c r="M3" t="s">
        <v>30</v>
      </c>
      <c r="N3" t="s">
        <v>26</v>
      </c>
      <c r="O3" t="s">
        <v>41</v>
      </c>
      <c r="P3" t="s">
        <v>42</v>
      </c>
      <c r="Q3" t="s">
        <v>43</v>
      </c>
      <c r="R3" t="s">
        <v>35</v>
      </c>
      <c r="S3" t="s">
        <v>44</v>
      </c>
      <c r="T3" t="s">
        <v>35</v>
      </c>
      <c r="U3" t="s">
        <v>35</v>
      </c>
      <c r="V3" t="str">
        <f t="shared" ref="V3:V66" si="1">SUBSTITUTE(_xlfn.CONCAT(RIGHT(O3,1),RIGHT(P3,1),RIGHT(Q3,1),RIGHT(R3,1),RIGHT(S3,1),RIGHT(T3,1),RIGHT(U3,1),"-",N3),"O","")</f>
        <v>HHSH-H</v>
      </c>
      <c r="W3">
        <v>4</v>
      </c>
      <c r="X3">
        <v>4</v>
      </c>
      <c r="Y3" t="str">
        <f t="shared" ref="Y3:Y66" si="2">SUBSTITUTE(SUBSTITUTE(_xlfn.CONCAT(LEFT(O3,1),LEFT(P3,1),LEFT(Q3,1),LEFT(R3,1),LEFT(S3,1),LEFT(T3,1),LEFT(U3,1),"-",M3),"G",""),"1","10")</f>
        <v>3427-J</v>
      </c>
      <c r="Z3">
        <v>2</v>
      </c>
      <c r="AA3">
        <v>5</v>
      </c>
      <c r="AB3">
        <v>9</v>
      </c>
      <c r="AC3">
        <v>0</v>
      </c>
      <c r="AD3">
        <f t="shared" si="0"/>
        <v>14</v>
      </c>
      <c r="AE3">
        <v>14</v>
      </c>
    </row>
    <row r="4" spans="1:31" x14ac:dyDescent="0.35">
      <c r="A4" t="s">
        <v>23</v>
      </c>
      <c r="B4">
        <v>1</v>
      </c>
      <c r="D4" t="s">
        <v>24</v>
      </c>
      <c r="E4">
        <v>2</v>
      </c>
      <c r="F4" t="s">
        <v>37</v>
      </c>
      <c r="G4">
        <v>9</v>
      </c>
      <c r="H4" t="s">
        <v>38</v>
      </c>
      <c r="I4" t="s">
        <v>45</v>
      </c>
      <c r="J4">
        <v>8</v>
      </c>
      <c r="K4" t="s">
        <v>26</v>
      </c>
      <c r="L4" t="s">
        <v>46</v>
      </c>
      <c r="M4" t="s">
        <v>47</v>
      </c>
      <c r="N4" t="s">
        <v>26</v>
      </c>
      <c r="O4" t="s">
        <v>48</v>
      </c>
      <c r="P4" t="s">
        <v>35</v>
      </c>
      <c r="Q4" t="s">
        <v>49</v>
      </c>
      <c r="R4" t="s">
        <v>43</v>
      </c>
      <c r="S4" t="s">
        <v>31</v>
      </c>
      <c r="T4" t="s">
        <v>35</v>
      </c>
      <c r="U4" t="s">
        <v>35</v>
      </c>
      <c r="V4" t="str">
        <f t="shared" si="1"/>
        <v>HCSD-H</v>
      </c>
      <c r="W4">
        <v>0</v>
      </c>
      <c r="Y4" t="str">
        <f t="shared" si="2"/>
        <v>10323-K</v>
      </c>
      <c r="Z4">
        <v>4</v>
      </c>
      <c r="AA4">
        <v>3</v>
      </c>
      <c r="AB4">
        <v>8</v>
      </c>
      <c r="AD4">
        <f t="shared" si="0"/>
        <v>11</v>
      </c>
      <c r="AE4">
        <v>24</v>
      </c>
    </row>
    <row r="5" spans="1:31" x14ac:dyDescent="0.35">
      <c r="A5" t="s">
        <v>36</v>
      </c>
      <c r="B5">
        <v>1</v>
      </c>
      <c r="D5" t="s">
        <v>24</v>
      </c>
      <c r="E5">
        <v>2</v>
      </c>
      <c r="F5" t="s">
        <v>50</v>
      </c>
      <c r="G5">
        <v>6</v>
      </c>
      <c r="H5" t="s">
        <v>26</v>
      </c>
      <c r="I5" t="s">
        <v>51</v>
      </c>
      <c r="J5">
        <v>6</v>
      </c>
      <c r="K5" t="s">
        <v>38</v>
      </c>
      <c r="L5" t="s">
        <v>46</v>
      </c>
      <c r="M5" t="s">
        <v>47</v>
      </c>
      <c r="N5" t="s">
        <v>26</v>
      </c>
      <c r="O5" t="s">
        <v>52</v>
      </c>
      <c r="P5" t="s">
        <v>53</v>
      </c>
      <c r="Q5" t="s">
        <v>35</v>
      </c>
      <c r="R5" t="s">
        <v>39</v>
      </c>
      <c r="S5" t="s">
        <v>25</v>
      </c>
      <c r="T5" t="s">
        <v>35</v>
      </c>
      <c r="U5" t="s">
        <v>35</v>
      </c>
      <c r="V5" t="str">
        <f t="shared" si="1"/>
        <v>DHSH-H</v>
      </c>
      <c r="W5">
        <v>0</v>
      </c>
      <c r="Y5" t="str">
        <f t="shared" si="2"/>
        <v>JQQ5-K</v>
      </c>
      <c r="Z5">
        <v>8</v>
      </c>
      <c r="AA5">
        <v>1</v>
      </c>
      <c r="AB5">
        <v>16</v>
      </c>
      <c r="AC5">
        <v>6</v>
      </c>
      <c r="AD5">
        <f t="shared" si="0"/>
        <v>23</v>
      </c>
      <c r="AE5">
        <v>37</v>
      </c>
    </row>
    <row r="6" spans="1:31" x14ac:dyDescent="0.35">
      <c r="A6" t="s">
        <v>23</v>
      </c>
      <c r="B6">
        <v>1</v>
      </c>
      <c r="D6" t="s">
        <v>24</v>
      </c>
      <c r="E6">
        <v>3</v>
      </c>
      <c r="F6" t="s">
        <v>54</v>
      </c>
      <c r="G6">
        <v>8</v>
      </c>
      <c r="H6" t="s">
        <v>55</v>
      </c>
      <c r="I6" t="s">
        <v>56</v>
      </c>
      <c r="J6">
        <v>8</v>
      </c>
      <c r="K6" t="s">
        <v>38</v>
      </c>
      <c r="L6" t="s">
        <v>57</v>
      </c>
      <c r="M6" t="s">
        <v>58</v>
      </c>
      <c r="N6" t="s">
        <v>28</v>
      </c>
      <c r="O6" t="s">
        <v>51</v>
      </c>
      <c r="P6" t="s">
        <v>48</v>
      </c>
      <c r="Q6" t="s">
        <v>35</v>
      </c>
      <c r="R6" t="s">
        <v>37</v>
      </c>
      <c r="S6" t="s">
        <v>50</v>
      </c>
      <c r="T6" t="s">
        <v>35</v>
      </c>
      <c r="U6" t="s">
        <v>35</v>
      </c>
      <c r="V6" t="str">
        <f t="shared" si="1"/>
        <v>DHDH-S</v>
      </c>
      <c r="W6">
        <v>0</v>
      </c>
      <c r="Y6" t="str">
        <f t="shared" si="2"/>
        <v>61096-A</v>
      </c>
      <c r="Z6">
        <v>0</v>
      </c>
      <c r="AA6">
        <v>0</v>
      </c>
      <c r="AB6">
        <v>6</v>
      </c>
      <c r="AC6">
        <v>6</v>
      </c>
      <c r="AD6">
        <f t="shared" si="0"/>
        <v>12</v>
      </c>
      <c r="AE6">
        <v>36</v>
      </c>
    </row>
    <row r="7" spans="1:31" x14ac:dyDescent="0.35">
      <c r="A7" t="s">
        <v>36</v>
      </c>
      <c r="B7">
        <v>1</v>
      </c>
      <c r="D7" t="s">
        <v>24</v>
      </c>
      <c r="E7">
        <v>3</v>
      </c>
      <c r="F7" t="s">
        <v>44</v>
      </c>
      <c r="G7">
        <v>7</v>
      </c>
      <c r="H7" t="s">
        <v>26</v>
      </c>
      <c r="I7" t="s">
        <v>59</v>
      </c>
      <c r="J7">
        <v>4</v>
      </c>
      <c r="K7" t="s">
        <v>38</v>
      </c>
      <c r="L7" t="s">
        <v>57</v>
      </c>
      <c r="M7" t="s">
        <v>58</v>
      </c>
      <c r="N7" t="s">
        <v>28</v>
      </c>
      <c r="O7" t="s">
        <v>60</v>
      </c>
      <c r="P7" t="s">
        <v>61</v>
      </c>
      <c r="Q7" t="s">
        <v>35</v>
      </c>
      <c r="R7" t="s">
        <v>39</v>
      </c>
      <c r="S7" t="s">
        <v>25</v>
      </c>
      <c r="T7" t="s">
        <v>35</v>
      </c>
      <c r="U7" t="s">
        <v>35</v>
      </c>
      <c r="V7" t="str">
        <f t="shared" si="1"/>
        <v>SDSH-S</v>
      </c>
      <c r="W7">
        <v>0</v>
      </c>
      <c r="Y7" t="str">
        <f t="shared" si="2"/>
        <v>410Q5-A</v>
      </c>
      <c r="Z7">
        <v>4</v>
      </c>
      <c r="AA7">
        <v>1</v>
      </c>
      <c r="AB7">
        <v>12</v>
      </c>
      <c r="AD7">
        <f t="shared" si="0"/>
        <v>13</v>
      </c>
      <c r="AE7">
        <v>50</v>
      </c>
    </row>
    <row r="8" spans="1:31" x14ac:dyDescent="0.35">
      <c r="A8" t="s">
        <v>23</v>
      </c>
      <c r="B8">
        <v>1</v>
      </c>
      <c r="D8" t="s">
        <v>24</v>
      </c>
      <c r="E8">
        <v>4</v>
      </c>
      <c r="F8" t="s">
        <v>27</v>
      </c>
      <c r="G8">
        <v>7</v>
      </c>
      <c r="H8" t="s">
        <v>28</v>
      </c>
      <c r="I8" t="s">
        <v>51</v>
      </c>
      <c r="J8">
        <v>6</v>
      </c>
      <c r="K8" t="s">
        <v>38</v>
      </c>
      <c r="L8" t="s">
        <v>42</v>
      </c>
      <c r="M8">
        <v>4</v>
      </c>
      <c r="N8" t="s">
        <v>26</v>
      </c>
      <c r="O8" t="s">
        <v>46</v>
      </c>
      <c r="P8" t="s">
        <v>62</v>
      </c>
      <c r="Q8" t="s">
        <v>35</v>
      </c>
      <c r="R8" t="s">
        <v>60</v>
      </c>
      <c r="S8" t="s">
        <v>34</v>
      </c>
      <c r="T8" t="s">
        <v>35</v>
      </c>
      <c r="U8" t="s">
        <v>35</v>
      </c>
      <c r="V8" t="str">
        <f t="shared" si="1"/>
        <v>HSSD-H</v>
      </c>
      <c r="W8">
        <v>0</v>
      </c>
      <c r="Y8" t="str">
        <f t="shared" si="2"/>
        <v>KK4A-4</v>
      </c>
      <c r="Z8">
        <v>6</v>
      </c>
      <c r="AA8">
        <v>3</v>
      </c>
      <c r="AB8">
        <v>14</v>
      </c>
      <c r="AD8">
        <f t="shared" si="0"/>
        <v>17</v>
      </c>
      <c r="AE8">
        <v>53</v>
      </c>
    </row>
    <row r="9" spans="1:31" x14ac:dyDescent="0.35">
      <c r="A9" t="s">
        <v>36</v>
      </c>
      <c r="B9">
        <v>1</v>
      </c>
      <c r="D9" t="s">
        <v>24</v>
      </c>
      <c r="E9">
        <v>4</v>
      </c>
      <c r="F9" t="s">
        <v>63</v>
      </c>
      <c r="G9">
        <v>6</v>
      </c>
      <c r="H9" t="s">
        <v>28</v>
      </c>
      <c r="I9" t="s">
        <v>33</v>
      </c>
      <c r="J9">
        <v>2</v>
      </c>
      <c r="K9" t="s">
        <v>55</v>
      </c>
      <c r="L9" t="s">
        <v>42</v>
      </c>
      <c r="M9">
        <v>4</v>
      </c>
      <c r="N9" t="s">
        <v>26</v>
      </c>
      <c r="O9" t="s">
        <v>39</v>
      </c>
      <c r="P9" t="s">
        <v>57</v>
      </c>
      <c r="Q9" t="s">
        <v>35</v>
      </c>
      <c r="R9" t="s">
        <v>56</v>
      </c>
      <c r="S9" t="s">
        <v>54</v>
      </c>
      <c r="T9" t="s">
        <v>35</v>
      </c>
      <c r="U9" t="s">
        <v>35</v>
      </c>
      <c r="V9" t="str">
        <f t="shared" si="1"/>
        <v>SSDC-H</v>
      </c>
      <c r="W9">
        <v>0</v>
      </c>
      <c r="Y9" t="str">
        <f t="shared" si="2"/>
        <v>QA88-4</v>
      </c>
      <c r="Z9">
        <v>2</v>
      </c>
      <c r="AA9">
        <v>3</v>
      </c>
      <c r="AB9">
        <v>4</v>
      </c>
      <c r="AC9">
        <v>6</v>
      </c>
      <c r="AD9">
        <f t="shared" si="0"/>
        <v>13</v>
      </c>
      <c r="AE9">
        <v>63</v>
      </c>
    </row>
    <row r="10" spans="1:31" x14ac:dyDescent="0.35">
      <c r="A10" t="s">
        <v>23</v>
      </c>
      <c r="B10">
        <v>1</v>
      </c>
      <c r="D10" t="s">
        <v>24</v>
      </c>
      <c r="E10">
        <v>5</v>
      </c>
      <c r="F10" t="s">
        <v>54</v>
      </c>
      <c r="G10">
        <v>8</v>
      </c>
      <c r="H10" t="s">
        <v>55</v>
      </c>
      <c r="I10" t="s">
        <v>64</v>
      </c>
      <c r="J10">
        <v>7</v>
      </c>
      <c r="K10" t="s">
        <v>55</v>
      </c>
      <c r="L10" t="s">
        <v>43</v>
      </c>
      <c r="M10">
        <v>2</v>
      </c>
      <c r="N10" t="s">
        <v>28</v>
      </c>
      <c r="O10" t="s">
        <v>60</v>
      </c>
      <c r="P10" t="s">
        <v>31</v>
      </c>
      <c r="Q10" t="s">
        <v>52</v>
      </c>
      <c r="R10" t="s">
        <v>65</v>
      </c>
      <c r="S10" t="s">
        <v>35</v>
      </c>
      <c r="T10" t="s">
        <v>35</v>
      </c>
      <c r="U10" t="s">
        <v>35</v>
      </c>
      <c r="V10" t="str">
        <f t="shared" si="1"/>
        <v>SDDH-S</v>
      </c>
      <c r="W10">
        <v>0</v>
      </c>
      <c r="Y10" t="str">
        <f t="shared" si="2"/>
        <v>43JA-2</v>
      </c>
      <c r="Z10">
        <v>6</v>
      </c>
      <c r="AA10">
        <v>6</v>
      </c>
      <c r="AB10">
        <v>10</v>
      </c>
      <c r="AC10">
        <v>7</v>
      </c>
      <c r="AD10">
        <f t="shared" si="0"/>
        <v>23</v>
      </c>
      <c r="AE10">
        <v>76</v>
      </c>
    </row>
    <row r="11" spans="1:31" x14ac:dyDescent="0.35">
      <c r="A11" t="s">
        <v>36</v>
      </c>
      <c r="B11">
        <v>1</v>
      </c>
      <c r="D11" t="s">
        <v>24</v>
      </c>
      <c r="E11">
        <v>5</v>
      </c>
      <c r="F11" t="s">
        <v>50</v>
      </c>
      <c r="G11">
        <v>6</v>
      </c>
      <c r="H11" t="s">
        <v>26</v>
      </c>
      <c r="I11" t="s">
        <v>41</v>
      </c>
      <c r="J11">
        <v>3</v>
      </c>
      <c r="K11" t="s">
        <v>26</v>
      </c>
      <c r="L11" t="s">
        <v>43</v>
      </c>
      <c r="M11">
        <v>2</v>
      </c>
      <c r="N11" t="s">
        <v>28</v>
      </c>
      <c r="O11" t="s">
        <v>51</v>
      </c>
      <c r="P11" t="s">
        <v>66</v>
      </c>
      <c r="Q11" t="s">
        <v>67</v>
      </c>
      <c r="R11" t="s">
        <v>35</v>
      </c>
      <c r="S11" t="s">
        <v>56</v>
      </c>
      <c r="T11" t="s">
        <v>35</v>
      </c>
      <c r="U11" t="s">
        <v>35</v>
      </c>
      <c r="V11" t="str">
        <f t="shared" si="1"/>
        <v>DDDD-S</v>
      </c>
      <c r="W11">
        <v>4</v>
      </c>
      <c r="X11">
        <v>0</v>
      </c>
      <c r="Y11" t="str">
        <f t="shared" si="2"/>
        <v>6528-2</v>
      </c>
      <c r="Z11">
        <v>4</v>
      </c>
      <c r="AA11">
        <v>5</v>
      </c>
      <c r="AB11">
        <v>8</v>
      </c>
      <c r="AD11">
        <f t="shared" si="0"/>
        <v>13</v>
      </c>
      <c r="AE11">
        <v>76</v>
      </c>
    </row>
    <row r="12" spans="1:31" x14ac:dyDescent="0.35">
      <c r="A12" t="s">
        <v>23</v>
      </c>
      <c r="B12">
        <v>1</v>
      </c>
      <c r="D12" t="s">
        <v>24</v>
      </c>
      <c r="E12">
        <v>6</v>
      </c>
      <c r="F12" t="s">
        <v>68</v>
      </c>
      <c r="G12">
        <v>9</v>
      </c>
      <c r="H12" t="s">
        <v>28</v>
      </c>
      <c r="I12" t="s">
        <v>44</v>
      </c>
      <c r="J12">
        <v>7</v>
      </c>
      <c r="K12" t="s">
        <v>26</v>
      </c>
      <c r="L12" t="s">
        <v>25</v>
      </c>
      <c r="M12">
        <v>5</v>
      </c>
      <c r="N12" t="s">
        <v>26</v>
      </c>
      <c r="O12" t="s">
        <v>46</v>
      </c>
      <c r="P12" t="s">
        <v>27</v>
      </c>
      <c r="Q12" t="s">
        <v>35</v>
      </c>
      <c r="R12" t="s">
        <v>52</v>
      </c>
      <c r="S12" t="s">
        <v>69</v>
      </c>
      <c r="T12" t="s">
        <v>35</v>
      </c>
      <c r="U12" t="s">
        <v>35</v>
      </c>
      <c r="V12" t="str">
        <f t="shared" si="1"/>
        <v>HSDC-H</v>
      </c>
      <c r="W12">
        <v>0</v>
      </c>
      <c r="Y12" t="str">
        <f t="shared" si="2"/>
        <v>K7J5-5</v>
      </c>
      <c r="Z12">
        <v>6</v>
      </c>
      <c r="AA12">
        <v>5</v>
      </c>
      <c r="AB12">
        <v>10</v>
      </c>
      <c r="AD12">
        <f t="shared" si="0"/>
        <v>15</v>
      </c>
      <c r="AE12">
        <v>91</v>
      </c>
    </row>
    <row r="13" spans="1:31" x14ac:dyDescent="0.35">
      <c r="A13" t="s">
        <v>36</v>
      </c>
      <c r="B13">
        <v>1</v>
      </c>
      <c r="D13" t="s">
        <v>24</v>
      </c>
      <c r="E13">
        <v>6</v>
      </c>
      <c r="F13" t="s">
        <v>56</v>
      </c>
      <c r="G13">
        <v>8</v>
      </c>
      <c r="H13" t="s">
        <v>38</v>
      </c>
      <c r="I13" t="s">
        <v>37</v>
      </c>
      <c r="J13">
        <v>9</v>
      </c>
      <c r="K13" t="s">
        <v>38</v>
      </c>
      <c r="L13" t="s">
        <v>25</v>
      </c>
      <c r="M13">
        <v>5</v>
      </c>
      <c r="N13" t="s">
        <v>26</v>
      </c>
      <c r="O13" t="s">
        <v>70</v>
      </c>
      <c r="P13" t="s">
        <v>71</v>
      </c>
      <c r="Q13" t="s">
        <v>35</v>
      </c>
      <c r="R13" t="s">
        <v>66</v>
      </c>
      <c r="S13" t="s">
        <v>72</v>
      </c>
      <c r="T13" t="s">
        <v>35</v>
      </c>
      <c r="U13" t="s">
        <v>35</v>
      </c>
      <c r="V13" t="str">
        <f t="shared" si="1"/>
        <v>SCDS-H</v>
      </c>
      <c r="W13">
        <v>0</v>
      </c>
      <c r="Y13" t="str">
        <f t="shared" si="2"/>
        <v>5Q53-5</v>
      </c>
      <c r="Z13">
        <v>8</v>
      </c>
      <c r="AA13">
        <v>0</v>
      </c>
      <c r="AB13">
        <v>14</v>
      </c>
      <c r="AC13">
        <v>14</v>
      </c>
      <c r="AD13">
        <f t="shared" si="0"/>
        <v>28</v>
      </c>
      <c r="AE13">
        <v>104</v>
      </c>
    </row>
    <row r="14" spans="1:31" x14ac:dyDescent="0.35">
      <c r="A14" t="s">
        <v>23</v>
      </c>
      <c r="B14">
        <v>1</v>
      </c>
      <c r="D14" t="s">
        <v>24</v>
      </c>
      <c r="E14">
        <v>7</v>
      </c>
      <c r="F14" t="s">
        <v>71</v>
      </c>
      <c r="G14" t="s">
        <v>40</v>
      </c>
      <c r="H14" t="s">
        <v>55</v>
      </c>
      <c r="I14" t="s">
        <v>39</v>
      </c>
      <c r="J14" t="s">
        <v>40</v>
      </c>
      <c r="K14" t="s">
        <v>28</v>
      </c>
      <c r="L14" t="s">
        <v>59</v>
      </c>
      <c r="M14">
        <v>4</v>
      </c>
      <c r="N14" t="s">
        <v>38</v>
      </c>
      <c r="O14" t="s">
        <v>50</v>
      </c>
      <c r="P14" t="s">
        <v>32</v>
      </c>
      <c r="Q14" t="s">
        <v>65</v>
      </c>
      <c r="R14" t="s">
        <v>35</v>
      </c>
      <c r="S14" t="s">
        <v>70</v>
      </c>
      <c r="T14" t="s">
        <v>35</v>
      </c>
      <c r="U14" t="s">
        <v>35</v>
      </c>
      <c r="V14" t="str">
        <f t="shared" si="1"/>
        <v>HDHS-D</v>
      </c>
      <c r="W14">
        <v>0</v>
      </c>
      <c r="Y14" t="str">
        <f t="shared" si="2"/>
        <v>6KA5-4</v>
      </c>
      <c r="Z14">
        <v>5</v>
      </c>
      <c r="AA14">
        <v>3</v>
      </c>
      <c r="AB14">
        <v>4</v>
      </c>
      <c r="AC14">
        <v>2</v>
      </c>
      <c r="AD14">
        <f t="shared" si="0"/>
        <v>9</v>
      </c>
      <c r="AE14">
        <v>100</v>
      </c>
    </row>
    <row r="15" spans="1:31" x14ac:dyDescent="0.35">
      <c r="A15" t="s">
        <v>36</v>
      </c>
      <c r="B15">
        <v>1</v>
      </c>
      <c r="D15" t="s">
        <v>24</v>
      </c>
      <c r="E15">
        <v>7</v>
      </c>
      <c r="F15" t="s">
        <v>73</v>
      </c>
      <c r="G15">
        <v>9</v>
      </c>
      <c r="H15" t="s">
        <v>55</v>
      </c>
      <c r="I15" t="s">
        <v>31</v>
      </c>
      <c r="J15">
        <v>3</v>
      </c>
      <c r="K15" t="s">
        <v>38</v>
      </c>
      <c r="L15" t="s">
        <v>59</v>
      </c>
      <c r="M15">
        <v>4</v>
      </c>
      <c r="N15" t="s">
        <v>38</v>
      </c>
      <c r="O15" t="s">
        <v>49</v>
      </c>
      <c r="P15" t="s">
        <v>45</v>
      </c>
      <c r="Q15" t="s">
        <v>35</v>
      </c>
      <c r="R15" t="s">
        <v>66</v>
      </c>
      <c r="S15" t="s">
        <v>61</v>
      </c>
      <c r="T15" t="s">
        <v>35</v>
      </c>
      <c r="U15" t="s">
        <v>35</v>
      </c>
      <c r="V15" t="str">
        <f t="shared" si="1"/>
        <v>CHDD-D</v>
      </c>
      <c r="W15">
        <v>0</v>
      </c>
      <c r="Y15" t="str">
        <f t="shared" si="2"/>
        <v>38510-4</v>
      </c>
      <c r="Z15">
        <v>5</v>
      </c>
      <c r="AA15">
        <v>1</v>
      </c>
      <c r="AB15">
        <v>12</v>
      </c>
      <c r="AD15">
        <f t="shared" si="0"/>
        <v>13</v>
      </c>
      <c r="AE15">
        <v>117</v>
      </c>
    </row>
    <row r="16" spans="1:31" x14ac:dyDescent="0.35">
      <c r="A16" t="s">
        <v>23</v>
      </c>
      <c r="B16">
        <v>1</v>
      </c>
      <c r="D16" t="s">
        <v>24</v>
      </c>
      <c r="E16">
        <v>8</v>
      </c>
      <c r="F16" t="s">
        <v>34</v>
      </c>
      <c r="G16" t="s">
        <v>58</v>
      </c>
      <c r="H16" t="s">
        <v>38</v>
      </c>
      <c r="I16" t="s">
        <v>74</v>
      </c>
      <c r="J16">
        <v>9</v>
      </c>
      <c r="K16" t="s">
        <v>26</v>
      </c>
      <c r="L16" t="s">
        <v>65</v>
      </c>
      <c r="M16" t="s">
        <v>58</v>
      </c>
      <c r="N16" t="s">
        <v>26</v>
      </c>
      <c r="O16" t="s">
        <v>32</v>
      </c>
      <c r="P16" t="s">
        <v>39</v>
      </c>
      <c r="Q16" t="s">
        <v>35</v>
      </c>
      <c r="R16" t="s">
        <v>35</v>
      </c>
      <c r="S16" t="s">
        <v>66</v>
      </c>
      <c r="T16" t="s">
        <v>85</v>
      </c>
      <c r="U16" t="s">
        <v>35</v>
      </c>
      <c r="V16" t="str">
        <f t="shared" si="1"/>
        <v>DSDC-H</v>
      </c>
      <c r="W16">
        <v>0</v>
      </c>
      <c r="Y16" t="str">
        <f t="shared" si="2"/>
        <v>KQ5A-A</v>
      </c>
      <c r="Z16">
        <v>2</v>
      </c>
      <c r="AA16">
        <v>4</v>
      </c>
      <c r="AB16">
        <v>6</v>
      </c>
      <c r="AD16">
        <f t="shared" si="0"/>
        <v>10</v>
      </c>
      <c r="AE16">
        <v>110</v>
      </c>
    </row>
    <row r="17" spans="1:31" x14ac:dyDescent="0.35">
      <c r="A17" t="s">
        <v>36</v>
      </c>
      <c r="B17">
        <v>1</v>
      </c>
      <c r="D17" t="s">
        <v>24</v>
      </c>
      <c r="E17">
        <v>8</v>
      </c>
      <c r="F17" t="s">
        <v>29</v>
      </c>
      <c r="G17" t="s">
        <v>30</v>
      </c>
      <c r="H17" t="s">
        <v>26</v>
      </c>
      <c r="I17" t="s">
        <v>75</v>
      </c>
      <c r="J17">
        <v>8</v>
      </c>
      <c r="K17" t="s">
        <v>28</v>
      </c>
      <c r="L17" t="s">
        <v>65</v>
      </c>
      <c r="M17" t="s">
        <v>58</v>
      </c>
      <c r="N17" t="s">
        <v>26</v>
      </c>
      <c r="O17" t="s">
        <v>25</v>
      </c>
      <c r="P17" t="s">
        <v>69</v>
      </c>
      <c r="Q17" t="s">
        <v>35</v>
      </c>
      <c r="R17" t="s">
        <v>51</v>
      </c>
      <c r="S17" t="s">
        <v>70</v>
      </c>
      <c r="T17" t="s">
        <v>35</v>
      </c>
      <c r="U17" t="s">
        <v>35</v>
      </c>
      <c r="V17" t="str">
        <f t="shared" si="1"/>
        <v>HCDS-H</v>
      </c>
      <c r="W17">
        <v>0</v>
      </c>
      <c r="Y17" t="str">
        <f t="shared" si="2"/>
        <v>5565-A</v>
      </c>
      <c r="Z17">
        <v>0</v>
      </c>
      <c r="AA17">
        <v>0</v>
      </c>
      <c r="AB17">
        <v>8</v>
      </c>
      <c r="AC17">
        <v>3</v>
      </c>
      <c r="AD17">
        <f t="shared" si="0"/>
        <v>11</v>
      </c>
      <c r="AE17">
        <v>125</v>
      </c>
    </row>
    <row r="18" spans="1:31" x14ac:dyDescent="0.35">
      <c r="A18" t="s">
        <v>23</v>
      </c>
      <c r="B18">
        <v>2</v>
      </c>
      <c r="D18" t="s">
        <v>76</v>
      </c>
      <c r="E18">
        <v>1</v>
      </c>
      <c r="F18" t="s">
        <v>32</v>
      </c>
      <c r="G18" t="s">
        <v>47</v>
      </c>
      <c r="H18" t="s">
        <v>38</v>
      </c>
      <c r="I18" t="s">
        <v>27</v>
      </c>
      <c r="J18">
        <v>7</v>
      </c>
      <c r="K18" t="s">
        <v>28</v>
      </c>
      <c r="L18" t="s">
        <v>34</v>
      </c>
      <c r="M18" t="s">
        <v>58</v>
      </c>
      <c r="N18" t="s">
        <v>38</v>
      </c>
      <c r="O18" t="s">
        <v>49</v>
      </c>
      <c r="P18" t="s">
        <v>33</v>
      </c>
      <c r="Q18" t="s">
        <v>77</v>
      </c>
      <c r="R18" t="s">
        <v>59</v>
      </c>
      <c r="S18" t="s">
        <v>35</v>
      </c>
      <c r="T18" t="s">
        <v>35</v>
      </c>
      <c r="U18" t="s">
        <v>35</v>
      </c>
      <c r="V18" t="str">
        <f t="shared" si="1"/>
        <v>CCHD-D</v>
      </c>
      <c r="W18">
        <v>0</v>
      </c>
      <c r="Y18" t="str">
        <f t="shared" si="2"/>
        <v>3224-A</v>
      </c>
      <c r="Z18">
        <v>8</v>
      </c>
      <c r="AA18">
        <v>7</v>
      </c>
      <c r="AB18">
        <v>10</v>
      </c>
      <c r="AC18">
        <v>4</v>
      </c>
      <c r="AD18">
        <f t="shared" si="0"/>
        <v>21</v>
      </c>
      <c r="AE18">
        <v>21</v>
      </c>
    </row>
    <row r="19" spans="1:31" x14ac:dyDescent="0.35">
      <c r="A19" t="s">
        <v>36</v>
      </c>
      <c r="B19">
        <v>2</v>
      </c>
      <c r="D19" t="s">
        <v>76</v>
      </c>
      <c r="E19">
        <v>1</v>
      </c>
      <c r="F19" t="s">
        <v>65</v>
      </c>
      <c r="G19" t="s">
        <v>58</v>
      </c>
      <c r="H19" t="s">
        <v>26</v>
      </c>
      <c r="I19" t="s">
        <v>54</v>
      </c>
      <c r="J19">
        <v>8</v>
      </c>
      <c r="K19" t="s">
        <v>55</v>
      </c>
      <c r="L19" t="s">
        <v>34</v>
      </c>
      <c r="M19" t="s">
        <v>58</v>
      </c>
      <c r="N19" t="s">
        <v>38</v>
      </c>
      <c r="O19" t="s">
        <v>31</v>
      </c>
      <c r="P19" t="s">
        <v>67</v>
      </c>
      <c r="Q19" t="s">
        <v>29</v>
      </c>
      <c r="R19" t="s">
        <v>35</v>
      </c>
      <c r="S19" t="s">
        <v>53</v>
      </c>
      <c r="T19" t="s">
        <v>35</v>
      </c>
      <c r="U19" t="s">
        <v>35</v>
      </c>
      <c r="V19" t="str">
        <f t="shared" si="1"/>
        <v>DDHH-D</v>
      </c>
      <c r="W19">
        <v>0</v>
      </c>
      <c r="Y19" t="str">
        <f t="shared" si="2"/>
        <v>32JQ-A</v>
      </c>
      <c r="AA19">
        <v>4</v>
      </c>
      <c r="AB19">
        <v>7</v>
      </c>
      <c r="AC19">
        <v>0</v>
      </c>
      <c r="AD19">
        <f t="shared" si="0"/>
        <v>11</v>
      </c>
      <c r="AE19">
        <v>11</v>
      </c>
    </row>
    <row r="20" spans="1:31" x14ac:dyDescent="0.35">
      <c r="A20" t="s">
        <v>23</v>
      </c>
      <c r="B20">
        <v>2</v>
      </c>
      <c r="D20" t="s">
        <v>76</v>
      </c>
      <c r="E20">
        <v>2</v>
      </c>
      <c r="F20" t="s">
        <v>44</v>
      </c>
      <c r="G20">
        <v>7</v>
      </c>
      <c r="H20" t="s">
        <v>26</v>
      </c>
      <c r="I20" t="s">
        <v>77</v>
      </c>
      <c r="J20">
        <v>2</v>
      </c>
      <c r="K20" t="s">
        <v>26</v>
      </c>
      <c r="L20" t="s">
        <v>32</v>
      </c>
      <c r="M20" t="s">
        <v>47</v>
      </c>
      <c r="N20" t="s">
        <v>38</v>
      </c>
      <c r="O20" t="s">
        <v>45</v>
      </c>
      <c r="P20" t="s">
        <v>70</v>
      </c>
      <c r="Q20" t="s">
        <v>35</v>
      </c>
      <c r="R20" t="s">
        <v>71</v>
      </c>
      <c r="S20" t="s">
        <v>35</v>
      </c>
      <c r="T20" t="s">
        <v>78</v>
      </c>
      <c r="U20" t="s">
        <v>35</v>
      </c>
      <c r="V20" t="str">
        <f t="shared" si="1"/>
        <v>HSCD-D</v>
      </c>
      <c r="W20">
        <v>0</v>
      </c>
      <c r="Y20" t="str">
        <f t="shared" si="2"/>
        <v>85QQ-K</v>
      </c>
      <c r="AA20">
        <v>4</v>
      </c>
      <c r="AB20">
        <v>8</v>
      </c>
      <c r="AD20">
        <f t="shared" si="0"/>
        <v>12</v>
      </c>
      <c r="AE20">
        <v>33</v>
      </c>
    </row>
    <row r="21" spans="1:31" x14ac:dyDescent="0.35">
      <c r="A21" t="s">
        <v>36</v>
      </c>
      <c r="B21">
        <v>2</v>
      </c>
      <c r="D21" t="s">
        <v>76</v>
      </c>
      <c r="E21">
        <v>2</v>
      </c>
      <c r="F21" t="s">
        <v>59</v>
      </c>
      <c r="G21">
        <v>4</v>
      </c>
      <c r="H21" t="s">
        <v>38</v>
      </c>
      <c r="I21" t="s">
        <v>60</v>
      </c>
      <c r="J21">
        <v>4</v>
      </c>
      <c r="K21" t="s">
        <v>28</v>
      </c>
      <c r="L21" t="s">
        <v>32</v>
      </c>
      <c r="M21" t="s">
        <v>47</v>
      </c>
      <c r="N21" t="s">
        <v>38</v>
      </c>
      <c r="O21" t="s">
        <v>79</v>
      </c>
      <c r="P21" t="s">
        <v>56</v>
      </c>
      <c r="Q21" t="s">
        <v>35</v>
      </c>
      <c r="R21" t="s">
        <v>75</v>
      </c>
      <c r="S21" t="s">
        <v>68</v>
      </c>
      <c r="T21" t="s">
        <v>35</v>
      </c>
      <c r="U21" t="s">
        <v>35</v>
      </c>
      <c r="V21" t="str">
        <f t="shared" si="1"/>
        <v>DDSS-D</v>
      </c>
      <c r="W21">
        <v>0</v>
      </c>
      <c r="Y21" t="str">
        <f t="shared" si="2"/>
        <v>7889-K</v>
      </c>
      <c r="AA21">
        <v>3</v>
      </c>
      <c r="AB21">
        <v>12</v>
      </c>
      <c r="AC21">
        <v>4</v>
      </c>
      <c r="AD21">
        <f t="shared" si="0"/>
        <v>19</v>
      </c>
      <c r="AE21">
        <v>30</v>
      </c>
    </row>
    <row r="22" spans="1:31" x14ac:dyDescent="0.35">
      <c r="A22" t="s">
        <v>23</v>
      </c>
      <c r="B22">
        <v>2</v>
      </c>
      <c r="D22" t="s">
        <v>76</v>
      </c>
      <c r="E22">
        <v>3</v>
      </c>
      <c r="F22" t="s">
        <v>80</v>
      </c>
      <c r="G22">
        <v>4</v>
      </c>
      <c r="H22" t="s">
        <v>55</v>
      </c>
      <c r="I22" t="s">
        <v>62</v>
      </c>
      <c r="J22" t="s">
        <v>47</v>
      </c>
      <c r="K22" t="s">
        <v>28</v>
      </c>
      <c r="L22" t="s">
        <v>59</v>
      </c>
      <c r="M22">
        <v>4</v>
      </c>
      <c r="N22" t="s">
        <v>38</v>
      </c>
      <c r="O22" t="s">
        <v>75</v>
      </c>
      <c r="P22" t="s">
        <v>44</v>
      </c>
      <c r="Q22" t="s">
        <v>77</v>
      </c>
      <c r="R22" t="s">
        <v>35</v>
      </c>
      <c r="S22" t="s">
        <v>64</v>
      </c>
      <c r="T22" t="s">
        <v>35</v>
      </c>
      <c r="U22" t="s">
        <v>35</v>
      </c>
      <c r="V22" t="str">
        <f t="shared" si="1"/>
        <v>SHHC-D</v>
      </c>
      <c r="W22">
        <v>0</v>
      </c>
      <c r="Y22" t="str">
        <f t="shared" si="2"/>
        <v>8727-4</v>
      </c>
      <c r="AA22">
        <v>3</v>
      </c>
      <c r="AB22">
        <v>6</v>
      </c>
      <c r="AC22">
        <v>6</v>
      </c>
      <c r="AD22">
        <f t="shared" si="0"/>
        <v>15</v>
      </c>
      <c r="AE22">
        <v>48</v>
      </c>
    </row>
    <row r="23" spans="1:31" x14ac:dyDescent="0.35">
      <c r="A23" t="s">
        <v>36</v>
      </c>
      <c r="B23">
        <v>2</v>
      </c>
      <c r="D23" t="s">
        <v>76</v>
      </c>
      <c r="E23">
        <v>3</v>
      </c>
      <c r="F23" t="s">
        <v>81</v>
      </c>
      <c r="G23" t="s">
        <v>30</v>
      </c>
      <c r="H23" t="s">
        <v>55</v>
      </c>
      <c r="I23" t="s">
        <v>60</v>
      </c>
      <c r="J23">
        <v>4</v>
      </c>
      <c r="K23" t="s">
        <v>28</v>
      </c>
      <c r="L23" t="s">
        <v>59</v>
      </c>
      <c r="M23">
        <v>4</v>
      </c>
      <c r="N23" t="s">
        <v>38</v>
      </c>
      <c r="O23" t="s">
        <v>68</v>
      </c>
      <c r="P23" t="s">
        <v>72</v>
      </c>
      <c r="Q23" t="s">
        <v>57</v>
      </c>
      <c r="R23" t="s">
        <v>35</v>
      </c>
      <c r="S23" t="s">
        <v>37</v>
      </c>
      <c r="T23" t="s">
        <v>35</v>
      </c>
      <c r="U23" t="s">
        <v>35</v>
      </c>
      <c r="V23" t="str">
        <f t="shared" si="1"/>
        <v>SSSD-D</v>
      </c>
      <c r="W23">
        <v>0</v>
      </c>
      <c r="Y23" t="str">
        <f t="shared" si="2"/>
        <v>93A9-4</v>
      </c>
      <c r="AA23">
        <v>4</v>
      </c>
      <c r="AB23">
        <v>2</v>
      </c>
      <c r="AD23">
        <f t="shared" si="0"/>
        <v>6</v>
      </c>
      <c r="AE23">
        <v>36</v>
      </c>
    </row>
    <row r="24" spans="1:31" x14ac:dyDescent="0.35">
      <c r="A24" t="s">
        <v>23</v>
      </c>
      <c r="B24">
        <v>2</v>
      </c>
      <c r="D24" t="s">
        <v>76</v>
      </c>
      <c r="E24">
        <v>4</v>
      </c>
      <c r="F24" t="s">
        <v>82</v>
      </c>
      <c r="G24">
        <v>6</v>
      </c>
      <c r="H24" t="s">
        <v>55</v>
      </c>
      <c r="I24" t="s">
        <v>48</v>
      </c>
      <c r="J24">
        <v>1</v>
      </c>
      <c r="K24" t="s">
        <v>26</v>
      </c>
      <c r="L24" t="s">
        <v>57</v>
      </c>
      <c r="M24" t="s">
        <v>58</v>
      </c>
      <c r="N24" t="s">
        <v>28</v>
      </c>
      <c r="O24" t="s">
        <v>83</v>
      </c>
      <c r="P24" t="s">
        <v>49</v>
      </c>
      <c r="Q24" t="s">
        <v>35</v>
      </c>
      <c r="R24" t="s">
        <v>64</v>
      </c>
      <c r="S24" t="s">
        <v>84</v>
      </c>
      <c r="T24" t="s">
        <v>35</v>
      </c>
      <c r="U24" t="s">
        <v>35</v>
      </c>
      <c r="V24" t="str">
        <f t="shared" si="1"/>
        <v>CCCC-S</v>
      </c>
      <c r="W24">
        <v>4</v>
      </c>
      <c r="X24">
        <v>0</v>
      </c>
      <c r="Y24" t="str">
        <f t="shared" si="2"/>
        <v>K3710-A</v>
      </c>
      <c r="AA24">
        <v>5</v>
      </c>
      <c r="AB24">
        <v>4</v>
      </c>
      <c r="AD24">
        <f t="shared" si="0"/>
        <v>9</v>
      </c>
      <c r="AE24">
        <v>57</v>
      </c>
    </row>
    <row r="25" spans="1:31" x14ac:dyDescent="0.35">
      <c r="A25" t="s">
        <v>36</v>
      </c>
      <c r="B25">
        <v>2</v>
      </c>
      <c r="D25" t="s">
        <v>76</v>
      </c>
      <c r="E25">
        <v>4</v>
      </c>
      <c r="F25" t="s">
        <v>68</v>
      </c>
      <c r="G25">
        <v>9</v>
      </c>
      <c r="H25" t="s">
        <v>28</v>
      </c>
      <c r="I25" t="s">
        <v>85</v>
      </c>
      <c r="J25" t="s">
        <v>58</v>
      </c>
      <c r="K25" t="s">
        <v>55</v>
      </c>
      <c r="L25" t="s">
        <v>57</v>
      </c>
      <c r="M25" t="s">
        <v>58</v>
      </c>
      <c r="N25" t="s">
        <v>28</v>
      </c>
      <c r="O25" t="s">
        <v>46</v>
      </c>
      <c r="P25" t="s">
        <v>31</v>
      </c>
      <c r="Q25" t="s">
        <v>66</v>
      </c>
      <c r="R25" t="s">
        <v>35</v>
      </c>
      <c r="S25" t="s">
        <v>59</v>
      </c>
      <c r="T25" t="s">
        <v>35</v>
      </c>
      <c r="U25" t="s">
        <v>35</v>
      </c>
      <c r="V25" t="str">
        <f t="shared" si="1"/>
        <v>HDDD-S</v>
      </c>
      <c r="W25">
        <v>0</v>
      </c>
      <c r="Y25" t="str">
        <f t="shared" si="2"/>
        <v>K354-A</v>
      </c>
      <c r="AA25">
        <v>2</v>
      </c>
      <c r="AB25">
        <v>7</v>
      </c>
      <c r="AC25">
        <v>4</v>
      </c>
      <c r="AD25">
        <f t="shared" si="0"/>
        <v>13</v>
      </c>
      <c r="AE25">
        <v>49</v>
      </c>
    </row>
    <row r="26" spans="1:31" x14ac:dyDescent="0.35">
      <c r="A26" t="s">
        <v>23</v>
      </c>
      <c r="B26">
        <v>2</v>
      </c>
      <c r="D26" t="s">
        <v>76</v>
      </c>
      <c r="E26">
        <v>5</v>
      </c>
      <c r="F26" t="s">
        <v>43</v>
      </c>
      <c r="G26">
        <v>2</v>
      </c>
      <c r="H26" t="s">
        <v>28</v>
      </c>
      <c r="I26" t="s">
        <v>73</v>
      </c>
      <c r="J26">
        <v>9</v>
      </c>
      <c r="K26" t="s">
        <v>55</v>
      </c>
      <c r="L26" t="s">
        <v>34</v>
      </c>
      <c r="M26" t="s">
        <v>58</v>
      </c>
      <c r="N26" t="s">
        <v>38</v>
      </c>
      <c r="O26" t="s">
        <v>79</v>
      </c>
      <c r="P26" t="s">
        <v>51</v>
      </c>
      <c r="Q26" t="s">
        <v>35</v>
      </c>
      <c r="R26" t="s">
        <v>66</v>
      </c>
      <c r="S26" t="s">
        <v>61</v>
      </c>
      <c r="T26" t="s">
        <v>35</v>
      </c>
      <c r="U26" t="s">
        <v>35</v>
      </c>
      <c r="V26" t="str">
        <f t="shared" si="1"/>
        <v>DDDD-D</v>
      </c>
      <c r="W26">
        <v>5</v>
      </c>
      <c r="X26">
        <v>1</v>
      </c>
      <c r="Y26" t="str">
        <f t="shared" si="2"/>
        <v>76510-A</v>
      </c>
      <c r="AA26">
        <v>4</v>
      </c>
      <c r="AB26">
        <v>10</v>
      </c>
      <c r="AC26">
        <v>8</v>
      </c>
      <c r="AD26">
        <f t="shared" si="0"/>
        <v>22</v>
      </c>
      <c r="AE26">
        <v>79</v>
      </c>
    </row>
    <row r="27" spans="1:31" x14ac:dyDescent="0.35">
      <c r="A27" t="s">
        <v>36</v>
      </c>
      <c r="B27">
        <v>2</v>
      </c>
      <c r="D27" t="s">
        <v>76</v>
      </c>
      <c r="E27">
        <v>5</v>
      </c>
      <c r="F27" t="s">
        <v>41</v>
      </c>
      <c r="G27">
        <v>3</v>
      </c>
      <c r="H27" t="s">
        <v>26</v>
      </c>
      <c r="I27" t="s">
        <v>80</v>
      </c>
      <c r="J27">
        <v>4</v>
      </c>
      <c r="K27" t="s">
        <v>55</v>
      </c>
      <c r="L27" t="s">
        <v>34</v>
      </c>
      <c r="M27" t="s">
        <v>58</v>
      </c>
      <c r="N27" t="s">
        <v>38</v>
      </c>
      <c r="O27" t="s">
        <v>45</v>
      </c>
      <c r="P27" t="s">
        <v>48</v>
      </c>
      <c r="Q27" t="s">
        <v>35</v>
      </c>
      <c r="R27" t="s">
        <v>32</v>
      </c>
      <c r="S27" t="s">
        <v>35</v>
      </c>
      <c r="T27" t="s">
        <v>46</v>
      </c>
      <c r="U27" t="s">
        <v>35</v>
      </c>
      <c r="V27" t="str">
        <f t="shared" si="1"/>
        <v>HHDH-D</v>
      </c>
      <c r="W27">
        <v>0</v>
      </c>
      <c r="Y27" t="str">
        <f t="shared" si="2"/>
        <v>810KK-A</v>
      </c>
      <c r="AA27">
        <v>7</v>
      </c>
      <c r="AB27">
        <v>2</v>
      </c>
      <c r="AD27">
        <f t="shared" si="0"/>
        <v>9</v>
      </c>
      <c r="AE27">
        <v>58</v>
      </c>
    </row>
    <row r="28" spans="1:31" x14ac:dyDescent="0.35">
      <c r="A28" t="s">
        <v>23</v>
      </c>
      <c r="B28">
        <v>2</v>
      </c>
      <c r="D28" t="s">
        <v>76</v>
      </c>
      <c r="E28">
        <v>6</v>
      </c>
      <c r="F28" t="s">
        <v>62</v>
      </c>
      <c r="G28" t="s">
        <v>47</v>
      </c>
      <c r="H28" t="s">
        <v>28</v>
      </c>
      <c r="I28" t="s">
        <v>31</v>
      </c>
      <c r="J28">
        <v>3</v>
      </c>
      <c r="K28" t="s">
        <v>38</v>
      </c>
      <c r="L28" t="s">
        <v>51</v>
      </c>
      <c r="M28">
        <v>6</v>
      </c>
      <c r="N28" t="s">
        <v>38</v>
      </c>
      <c r="O28" t="s">
        <v>86</v>
      </c>
      <c r="P28" t="s">
        <v>73</v>
      </c>
      <c r="Q28" t="s">
        <v>35</v>
      </c>
      <c r="R28" t="s">
        <v>50</v>
      </c>
      <c r="S28" t="s">
        <v>63</v>
      </c>
      <c r="T28" t="s">
        <v>35</v>
      </c>
      <c r="U28" t="s">
        <v>35</v>
      </c>
      <c r="V28" t="str">
        <f t="shared" si="1"/>
        <v>SCHS-D</v>
      </c>
      <c r="W28">
        <v>0</v>
      </c>
      <c r="Y28" t="str">
        <f t="shared" si="2"/>
        <v>J966-6</v>
      </c>
      <c r="AA28">
        <v>3</v>
      </c>
      <c r="AB28">
        <v>12</v>
      </c>
      <c r="AD28">
        <f t="shared" si="0"/>
        <v>15</v>
      </c>
      <c r="AE28">
        <v>94</v>
      </c>
    </row>
    <row r="29" spans="1:31" x14ac:dyDescent="0.35">
      <c r="A29" t="s">
        <v>36</v>
      </c>
      <c r="B29">
        <v>2</v>
      </c>
      <c r="D29" t="s">
        <v>76</v>
      </c>
      <c r="E29">
        <v>6</v>
      </c>
      <c r="F29" t="s">
        <v>64</v>
      </c>
      <c r="G29">
        <v>7</v>
      </c>
      <c r="H29" t="s">
        <v>55</v>
      </c>
      <c r="I29" t="s">
        <v>79</v>
      </c>
      <c r="J29">
        <v>7</v>
      </c>
      <c r="K29" t="s">
        <v>38</v>
      </c>
      <c r="L29" t="s">
        <v>51</v>
      </c>
      <c r="M29">
        <v>6</v>
      </c>
      <c r="N29" t="s">
        <v>38</v>
      </c>
      <c r="O29" t="s">
        <v>83</v>
      </c>
      <c r="P29" t="s">
        <v>43</v>
      </c>
      <c r="Q29" t="s">
        <v>35</v>
      </c>
      <c r="R29" t="s">
        <v>85</v>
      </c>
      <c r="S29" t="s">
        <v>41</v>
      </c>
      <c r="T29" t="s">
        <v>35</v>
      </c>
      <c r="U29" t="s">
        <v>35</v>
      </c>
      <c r="V29" t="str">
        <f t="shared" si="1"/>
        <v>CSCH-D</v>
      </c>
      <c r="W29">
        <v>0</v>
      </c>
      <c r="Y29" t="str">
        <f t="shared" si="2"/>
        <v>K2A3-6</v>
      </c>
      <c r="AA29">
        <v>0</v>
      </c>
      <c r="AB29">
        <v>2</v>
      </c>
      <c r="AC29">
        <v>2</v>
      </c>
      <c r="AD29">
        <f t="shared" si="0"/>
        <v>4</v>
      </c>
      <c r="AE29">
        <v>62</v>
      </c>
    </row>
    <row r="30" spans="1:31" x14ac:dyDescent="0.35">
      <c r="A30" t="s">
        <v>23</v>
      </c>
      <c r="B30">
        <v>2</v>
      </c>
      <c r="D30" t="s">
        <v>76</v>
      </c>
      <c r="E30">
        <v>7</v>
      </c>
      <c r="F30" t="s">
        <v>33</v>
      </c>
      <c r="G30">
        <v>2</v>
      </c>
      <c r="H30" t="s">
        <v>55</v>
      </c>
      <c r="I30" t="s">
        <v>50</v>
      </c>
      <c r="J30">
        <v>6</v>
      </c>
      <c r="K30" t="s">
        <v>26</v>
      </c>
      <c r="L30" t="s">
        <v>84</v>
      </c>
      <c r="M30">
        <v>1</v>
      </c>
      <c r="N30" t="s">
        <v>55</v>
      </c>
      <c r="O30" t="s">
        <v>80</v>
      </c>
      <c r="P30" t="s">
        <v>39</v>
      </c>
      <c r="Q30" t="s">
        <v>62</v>
      </c>
      <c r="R30" t="s">
        <v>35</v>
      </c>
      <c r="S30" t="s">
        <v>60</v>
      </c>
      <c r="T30" t="s">
        <v>35</v>
      </c>
      <c r="U30" t="s">
        <v>35</v>
      </c>
      <c r="V30" t="str">
        <f t="shared" si="1"/>
        <v>CSSS-C</v>
      </c>
      <c r="W30">
        <v>0</v>
      </c>
      <c r="Y30" t="str">
        <f t="shared" si="2"/>
        <v>4QK4-10</v>
      </c>
      <c r="AA30">
        <v>1</v>
      </c>
      <c r="AB30">
        <v>2</v>
      </c>
      <c r="AC30">
        <v>2</v>
      </c>
      <c r="AD30">
        <f t="shared" si="0"/>
        <v>5</v>
      </c>
      <c r="AE30">
        <v>99</v>
      </c>
    </row>
    <row r="31" spans="1:31" x14ac:dyDescent="0.35">
      <c r="A31" t="s">
        <v>36</v>
      </c>
      <c r="B31">
        <v>2</v>
      </c>
      <c r="D31" t="s">
        <v>76</v>
      </c>
      <c r="E31">
        <v>7</v>
      </c>
      <c r="F31" t="s">
        <v>87</v>
      </c>
      <c r="G31">
        <v>1</v>
      </c>
      <c r="H31" t="s">
        <v>28</v>
      </c>
      <c r="I31" t="s">
        <v>53</v>
      </c>
      <c r="J31" t="s">
        <v>40</v>
      </c>
      <c r="K31" t="s">
        <v>26</v>
      </c>
      <c r="L31" t="s">
        <v>84</v>
      </c>
      <c r="M31">
        <v>1</v>
      </c>
      <c r="N31" t="s">
        <v>55</v>
      </c>
      <c r="O31" t="s">
        <v>41</v>
      </c>
      <c r="P31" t="s">
        <v>49</v>
      </c>
      <c r="Q31" t="s">
        <v>35</v>
      </c>
      <c r="R31" t="s">
        <v>37</v>
      </c>
      <c r="S31" t="s">
        <v>82</v>
      </c>
      <c r="T31" t="s">
        <v>35</v>
      </c>
      <c r="U31" t="s">
        <v>35</v>
      </c>
      <c r="V31" t="str">
        <f t="shared" si="1"/>
        <v>HCDC-C</v>
      </c>
      <c r="W31">
        <v>0</v>
      </c>
      <c r="Y31" t="str">
        <f t="shared" si="2"/>
        <v>3396-10</v>
      </c>
      <c r="AA31">
        <v>1</v>
      </c>
      <c r="AB31">
        <v>6</v>
      </c>
      <c r="AD31">
        <f t="shared" si="0"/>
        <v>7</v>
      </c>
      <c r="AE31">
        <v>69</v>
      </c>
    </row>
    <row r="32" spans="1:31" x14ac:dyDescent="0.35">
      <c r="A32" t="s">
        <v>23</v>
      </c>
      <c r="B32">
        <v>2</v>
      </c>
      <c r="D32" t="s">
        <v>76</v>
      </c>
      <c r="E32">
        <v>8</v>
      </c>
      <c r="F32" t="s">
        <v>42</v>
      </c>
      <c r="G32">
        <v>4</v>
      </c>
      <c r="H32" t="s">
        <v>26</v>
      </c>
      <c r="I32" t="s">
        <v>71</v>
      </c>
      <c r="J32" t="s">
        <v>40</v>
      </c>
      <c r="K32" t="s">
        <v>55</v>
      </c>
      <c r="L32" t="s">
        <v>85</v>
      </c>
      <c r="M32" t="s">
        <v>58</v>
      </c>
      <c r="N32" t="s">
        <v>55</v>
      </c>
      <c r="O32" t="s">
        <v>87</v>
      </c>
      <c r="P32" t="s">
        <v>34</v>
      </c>
      <c r="Q32" t="s">
        <v>35</v>
      </c>
      <c r="R32" t="s">
        <v>75</v>
      </c>
      <c r="S32" t="s">
        <v>35</v>
      </c>
      <c r="T32" t="s">
        <v>56</v>
      </c>
      <c r="U32" t="s">
        <v>35</v>
      </c>
      <c r="V32" t="str">
        <f t="shared" si="1"/>
        <v>SDSD-C</v>
      </c>
      <c r="W32">
        <v>0</v>
      </c>
      <c r="Y32" t="str">
        <f t="shared" si="2"/>
        <v>10A88-A</v>
      </c>
      <c r="AA32">
        <v>3</v>
      </c>
      <c r="AB32">
        <v>4</v>
      </c>
      <c r="AD32">
        <f t="shared" si="0"/>
        <v>7</v>
      </c>
      <c r="AE32">
        <v>106</v>
      </c>
    </row>
    <row r="33" spans="1:31" x14ac:dyDescent="0.35">
      <c r="A33" t="s">
        <v>36</v>
      </c>
      <c r="B33">
        <v>2</v>
      </c>
      <c r="D33" t="s">
        <v>76</v>
      </c>
      <c r="E33">
        <v>8</v>
      </c>
      <c r="F33" t="s">
        <v>86</v>
      </c>
      <c r="G33" t="s">
        <v>30</v>
      </c>
      <c r="H33" t="s">
        <v>28</v>
      </c>
      <c r="I33" t="s">
        <v>72</v>
      </c>
      <c r="J33">
        <v>3</v>
      </c>
      <c r="K33" t="s">
        <v>28</v>
      </c>
      <c r="L33" t="s">
        <v>85</v>
      </c>
      <c r="M33" t="s">
        <v>58</v>
      </c>
      <c r="N33" t="s">
        <v>55</v>
      </c>
      <c r="O33" t="s">
        <v>46</v>
      </c>
      <c r="P33" t="s">
        <v>61</v>
      </c>
      <c r="Q33" t="s">
        <v>35</v>
      </c>
      <c r="R33" t="s">
        <v>48</v>
      </c>
      <c r="S33" t="s">
        <v>83</v>
      </c>
      <c r="T33" t="s">
        <v>35</v>
      </c>
      <c r="U33" t="s">
        <v>35</v>
      </c>
      <c r="V33" t="str">
        <f t="shared" si="1"/>
        <v>HDHC-C</v>
      </c>
      <c r="W33">
        <v>0</v>
      </c>
      <c r="Y33" t="str">
        <f t="shared" si="2"/>
        <v>K1010K-A</v>
      </c>
      <c r="AA33">
        <v>3</v>
      </c>
      <c r="AB33">
        <v>4</v>
      </c>
      <c r="AC33">
        <v>4</v>
      </c>
      <c r="AD33">
        <f t="shared" si="0"/>
        <v>11</v>
      </c>
      <c r="AE33">
        <v>80</v>
      </c>
    </row>
    <row r="34" spans="1:31" x14ac:dyDescent="0.35">
      <c r="A34" t="s">
        <v>23</v>
      </c>
      <c r="B34">
        <v>2</v>
      </c>
      <c r="D34" t="s">
        <v>76</v>
      </c>
      <c r="E34">
        <v>9</v>
      </c>
      <c r="F34" t="s">
        <v>27</v>
      </c>
      <c r="G34">
        <v>7</v>
      </c>
      <c r="H34" t="s">
        <v>28</v>
      </c>
      <c r="I34" t="s">
        <v>45</v>
      </c>
      <c r="J34">
        <v>8</v>
      </c>
      <c r="K34" t="s">
        <v>26</v>
      </c>
      <c r="L34" t="s">
        <v>34</v>
      </c>
      <c r="M34" t="s">
        <v>58</v>
      </c>
      <c r="N34" t="s">
        <v>38</v>
      </c>
      <c r="O34" t="s">
        <v>60</v>
      </c>
      <c r="P34" t="s">
        <v>78</v>
      </c>
      <c r="Q34" t="s">
        <v>35</v>
      </c>
      <c r="R34" t="s">
        <v>31</v>
      </c>
      <c r="S34" t="s">
        <v>52</v>
      </c>
      <c r="T34" t="s">
        <v>35</v>
      </c>
      <c r="U34" t="s">
        <v>35</v>
      </c>
      <c r="V34" t="str">
        <f t="shared" si="1"/>
        <v>SDDD-D</v>
      </c>
      <c r="W34">
        <v>4</v>
      </c>
      <c r="X34">
        <v>4</v>
      </c>
      <c r="Y34" t="str">
        <f t="shared" si="2"/>
        <v>4Q3J-A</v>
      </c>
      <c r="AA34">
        <v>4</v>
      </c>
      <c r="AB34">
        <v>8</v>
      </c>
      <c r="AC34">
        <v>4</v>
      </c>
      <c r="AD34">
        <f t="shared" ref="AD34:AD65" si="3">AA34+AB34+AC34</f>
        <v>16</v>
      </c>
      <c r="AE34">
        <v>122</v>
      </c>
    </row>
    <row r="35" spans="1:31" x14ac:dyDescent="0.35">
      <c r="A35" t="s">
        <v>36</v>
      </c>
      <c r="B35">
        <v>2</v>
      </c>
      <c r="D35" t="s">
        <v>76</v>
      </c>
      <c r="E35">
        <v>9</v>
      </c>
      <c r="F35" t="s">
        <v>62</v>
      </c>
      <c r="G35" t="s">
        <v>47</v>
      </c>
      <c r="H35" t="s">
        <v>28</v>
      </c>
      <c r="I35" t="s">
        <v>65</v>
      </c>
      <c r="J35" t="s">
        <v>58</v>
      </c>
      <c r="K35" t="s">
        <v>26</v>
      </c>
      <c r="L35" t="s">
        <v>34</v>
      </c>
      <c r="M35" t="s">
        <v>58</v>
      </c>
      <c r="N35" t="s">
        <v>38</v>
      </c>
      <c r="O35" t="s">
        <v>53</v>
      </c>
      <c r="P35" t="s">
        <v>70</v>
      </c>
      <c r="Q35" t="s">
        <v>35</v>
      </c>
      <c r="R35" t="s">
        <v>29</v>
      </c>
      <c r="S35" t="s">
        <v>35</v>
      </c>
      <c r="T35" t="s">
        <v>87</v>
      </c>
      <c r="U35" t="s">
        <v>35</v>
      </c>
      <c r="V35" t="str">
        <f t="shared" si="1"/>
        <v>HSHS-D</v>
      </c>
      <c r="W35">
        <v>0</v>
      </c>
      <c r="Y35" t="str">
        <f t="shared" si="2"/>
        <v>Q5J10-A</v>
      </c>
      <c r="AA35">
        <v>2</v>
      </c>
      <c r="AB35">
        <v>9</v>
      </c>
      <c r="AD35">
        <f t="shared" si="3"/>
        <v>11</v>
      </c>
      <c r="AE35">
        <v>91</v>
      </c>
    </row>
    <row r="36" spans="1:31" x14ac:dyDescent="0.35">
      <c r="A36" t="s">
        <v>36</v>
      </c>
      <c r="B36">
        <v>3</v>
      </c>
      <c r="D36" t="s">
        <v>88</v>
      </c>
      <c r="E36">
        <v>1</v>
      </c>
      <c r="F36" t="s">
        <v>80</v>
      </c>
      <c r="G36">
        <v>4</v>
      </c>
      <c r="H36" t="s">
        <v>55</v>
      </c>
      <c r="I36" t="s">
        <v>59</v>
      </c>
      <c r="J36">
        <v>4</v>
      </c>
      <c r="K36" t="s">
        <v>38</v>
      </c>
      <c r="L36" t="s">
        <v>44</v>
      </c>
      <c r="M36">
        <v>7</v>
      </c>
      <c r="N36" t="s">
        <v>26</v>
      </c>
      <c r="O36" t="s">
        <v>45</v>
      </c>
      <c r="P36" t="s">
        <v>29</v>
      </c>
      <c r="Q36" t="s">
        <v>35</v>
      </c>
      <c r="R36" t="s">
        <v>84</v>
      </c>
      <c r="S36" t="s">
        <v>35</v>
      </c>
      <c r="T36" t="s">
        <v>68</v>
      </c>
      <c r="U36" t="s">
        <v>35</v>
      </c>
      <c r="V36" t="str">
        <f t="shared" si="1"/>
        <v>HHCS-H</v>
      </c>
      <c r="W36">
        <v>0</v>
      </c>
      <c r="Y36" t="str">
        <f t="shared" si="2"/>
        <v>8J109-7</v>
      </c>
      <c r="AA36">
        <v>2</v>
      </c>
      <c r="AB36">
        <v>7</v>
      </c>
      <c r="AC36">
        <v>6</v>
      </c>
      <c r="AD36">
        <f t="shared" si="3"/>
        <v>15</v>
      </c>
      <c r="AE36">
        <v>15</v>
      </c>
    </row>
    <row r="37" spans="1:31" x14ac:dyDescent="0.35">
      <c r="A37" t="s">
        <v>23</v>
      </c>
      <c r="B37">
        <v>3</v>
      </c>
      <c r="D37" t="s">
        <v>88</v>
      </c>
      <c r="E37">
        <v>1</v>
      </c>
      <c r="F37" t="s">
        <v>43</v>
      </c>
      <c r="G37">
        <v>2</v>
      </c>
      <c r="H37" t="s">
        <v>28</v>
      </c>
      <c r="I37" t="s">
        <v>74</v>
      </c>
      <c r="J37">
        <v>9</v>
      </c>
      <c r="K37" t="s">
        <v>26</v>
      </c>
      <c r="L37" t="s">
        <v>44</v>
      </c>
      <c r="M37">
        <v>7</v>
      </c>
      <c r="N37" t="s">
        <v>26</v>
      </c>
      <c r="O37" t="s">
        <v>86</v>
      </c>
      <c r="P37" t="s">
        <v>35</v>
      </c>
      <c r="Q37" t="s">
        <v>81</v>
      </c>
      <c r="R37" t="s">
        <v>83</v>
      </c>
      <c r="S37" t="s">
        <v>35</v>
      </c>
      <c r="T37" t="s">
        <v>42</v>
      </c>
      <c r="U37" t="s">
        <v>35</v>
      </c>
      <c r="V37" t="str">
        <f t="shared" si="1"/>
        <v>SCCH-H</v>
      </c>
      <c r="W37">
        <v>0</v>
      </c>
      <c r="Y37" t="str">
        <f t="shared" si="2"/>
        <v>JJK4-7</v>
      </c>
      <c r="AA37">
        <v>1</v>
      </c>
      <c r="AB37">
        <v>2</v>
      </c>
      <c r="AC37">
        <v>0</v>
      </c>
      <c r="AD37">
        <f t="shared" si="3"/>
        <v>3</v>
      </c>
      <c r="AE37">
        <v>3</v>
      </c>
    </row>
    <row r="38" spans="1:31" x14ac:dyDescent="0.35">
      <c r="A38" t="s">
        <v>36</v>
      </c>
      <c r="B38">
        <v>3</v>
      </c>
      <c r="D38" t="s">
        <v>88</v>
      </c>
      <c r="E38">
        <v>2</v>
      </c>
      <c r="F38" t="s">
        <v>83</v>
      </c>
      <c r="G38" t="s">
        <v>47</v>
      </c>
      <c r="H38" t="s">
        <v>55</v>
      </c>
      <c r="I38" t="s">
        <v>59</v>
      </c>
      <c r="J38">
        <v>4</v>
      </c>
      <c r="K38" t="s">
        <v>38</v>
      </c>
      <c r="L38" t="s">
        <v>44</v>
      </c>
      <c r="M38">
        <v>7</v>
      </c>
      <c r="N38" t="s">
        <v>26</v>
      </c>
      <c r="O38" t="s">
        <v>70</v>
      </c>
      <c r="P38" t="s">
        <v>61</v>
      </c>
      <c r="Q38" t="s">
        <v>35</v>
      </c>
      <c r="R38" t="s">
        <v>84</v>
      </c>
      <c r="S38" t="s">
        <v>86</v>
      </c>
      <c r="T38" t="s">
        <v>35</v>
      </c>
      <c r="U38" t="s">
        <v>35</v>
      </c>
      <c r="V38" t="str">
        <f t="shared" si="1"/>
        <v>SDCS-H</v>
      </c>
      <c r="W38">
        <v>0</v>
      </c>
      <c r="Y38" t="str">
        <f t="shared" si="2"/>
        <v>51010J-7</v>
      </c>
      <c r="AA38">
        <v>4</v>
      </c>
      <c r="AB38">
        <v>8</v>
      </c>
      <c r="AD38">
        <f t="shared" si="3"/>
        <v>12</v>
      </c>
      <c r="AE38">
        <v>27</v>
      </c>
    </row>
    <row r="39" spans="1:31" x14ac:dyDescent="0.35">
      <c r="A39" t="s">
        <v>23</v>
      </c>
      <c r="B39">
        <v>3</v>
      </c>
      <c r="D39" t="s">
        <v>88</v>
      </c>
      <c r="E39">
        <v>2</v>
      </c>
      <c r="F39" t="s">
        <v>71</v>
      </c>
      <c r="G39" t="s">
        <v>40</v>
      </c>
      <c r="H39" t="s">
        <v>55</v>
      </c>
      <c r="I39" t="s">
        <v>56</v>
      </c>
      <c r="J39">
        <v>8</v>
      </c>
      <c r="K39" t="s">
        <v>38</v>
      </c>
      <c r="L39" t="s">
        <v>44</v>
      </c>
      <c r="M39">
        <v>7</v>
      </c>
      <c r="N39" t="s">
        <v>26</v>
      </c>
      <c r="O39" t="s">
        <v>42</v>
      </c>
      <c r="P39" t="s">
        <v>78</v>
      </c>
      <c r="Q39" t="s">
        <v>77</v>
      </c>
      <c r="R39" t="s">
        <v>35</v>
      </c>
      <c r="S39" t="s">
        <v>53</v>
      </c>
      <c r="T39" t="s">
        <v>35</v>
      </c>
      <c r="U39" t="s">
        <v>35</v>
      </c>
      <c r="V39" t="str">
        <f t="shared" si="1"/>
        <v>HDHH-H</v>
      </c>
      <c r="W39">
        <v>4</v>
      </c>
      <c r="X39">
        <v>4</v>
      </c>
      <c r="Y39" t="str">
        <f t="shared" si="2"/>
        <v>4Q2Q-7</v>
      </c>
      <c r="AA39">
        <v>2</v>
      </c>
      <c r="AB39">
        <v>2</v>
      </c>
      <c r="AC39">
        <v>2</v>
      </c>
      <c r="AD39">
        <f t="shared" si="3"/>
        <v>6</v>
      </c>
      <c r="AE39">
        <v>9</v>
      </c>
    </row>
    <row r="40" spans="1:31" x14ac:dyDescent="0.35">
      <c r="A40" t="s">
        <v>36</v>
      </c>
      <c r="B40">
        <v>3</v>
      </c>
      <c r="D40" t="s">
        <v>88</v>
      </c>
      <c r="E40">
        <v>3</v>
      </c>
      <c r="F40" t="s">
        <v>53</v>
      </c>
      <c r="G40" t="s">
        <v>40</v>
      </c>
      <c r="H40" t="s">
        <v>26</v>
      </c>
      <c r="I40" t="s">
        <v>37</v>
      </c>
      <c r="J40">
        <v>9</v>
      </c>
      <c r="K40" t="s">
        <v>38</v>
      </c>
      <c r="L40" t="s">
        <v>84</v>
      </c>
      <c r="M40">
        <v>1</v>
      </c>
      <c r="N40" t="s">
        <v>55</v>
      </c>
      <c r="O40" t="s">
        <v>33</v>
      </c>
      <c r="P40" t="s">
        <v>60</v>
      </c>
      <c r="Q40" t="s">
        <v>69</v>
      </c>
      <c r="R40" t="s">
        <v>41</v>
      </c>
      <c r="S40" t="s">
        <v>35</v>
      </c>
      <c r="T40" t="s">
        <v>35</v>
      </c>
      <c r="U40" t="s">
        <v>35</v>
      </c>
      <c r="V40" t="str">
        <f t="shared" si="1"/>
        <v>CSCH-C</v>
      </c>
      <c r="W40">
        <v>0</v>
      </c>
      <c r="Y40" t="str">
        <f t="shared" si="2"/>
        <v>2453-10</v>
      </c>
      <c r="AA40">
        <v>7</v>
      </c>
      <c r="AB40">
        <v>8</v>
      </c>
      <c r="AC40">
        <v>2</v>
      </c>
      <c r="AD40">
        <f t="shared" si="3"/>
        <v>17</v>
      </c>
      <c r="AE40">
        <v>44</v>
      </c>
    </row>
    <row r="41" spans="1:31" x14ac:dyDescent="0.35">
      <c r="A41" t="s">
        <v>23</v>
      </c>
      <c r="B41">
        <v>3</v>
      </c>
      <c r="D41" t="s">
        <v>88</v>
      </c>
      <c r="E41">
        <v>3</v>
      </c>
      <c r="F41" t="s">
        <v>83</v>
      </c>
      <c r="G41" t="s">
        <v>47</v>
      </c>
      <c r="H41" t="s">
        <v>55</v>
      </c>
      <c r="I41" t="s">
        <v>39</v>
      </c>
      <c r="J41" t="s">
        <v>40</v>
      </c>
      <c r="K41" t="s">
        <v>28</v>
      </c>
      <c r="L41" t="s">
        <v>84</v>
      </c>
      <c r="M41">
        <v>1</v>
      </c>
      <c r="N41" t="s">
        <v>55</v>
      </c>
      <c r="O41" t="s">
        <v>59</v>
      </c>
      <c r="P41" t="s">
        <v>42</v>
      </c>
      <c r="Q41" t="s">
        <v>63</v>
      </c>
      <c r="R41" t="s">
        <v>35</v>
      </c>
      <c r="S41" t="s">
        <v>70</v>
      </c>
      <c r="T41" t="s">
        <v>35</v>
      </c>
      <c r="U41" t="s">
        <v>35</v>
      </c>
      <c r="V41" t="str">
        <f t="shared" si="1"/>
        <v>DHSS-C</v>
      </c>
      <c r="W41">
        <v>0</v>
      </c>
      <c r="Y41" t="str">
        <f t="shared" si="2"/>
        <v>4465-10</v>
      </c>
      <c r="AA41">
        <v>10</v>
      </c>
      <c r="AB41">
        <v>14</v>
      </c>
      <c r="AD41">
        <f t="shared" si="3"/>
        <v>24</v>
      </c>
      <c r="AE41">
        <v>33</v>
      </c>
    </row>
    <row r="42" spans="1:31" x14ac:dyDescent="0.35">
      <c r="A42" t="s">
        <v>36</v>
      </c>
      <c r="B42">
        <v>3</v>
      </c>
      <c r="D42" t="s">
        <v>88</v>
      </c>
      <c r="E42">
        <v>4</v>
      </c>
      <c r="F42" t="s">
        <v>87</v>
      </c>
      <c r="G42">
        <v>1</v>
      </c>
      <c r="H42" t="s">
        <v>28</v>
      </c>
      <c r="I42" t="s">
        <v>62</v>
      </c>
      <c r="J42" t="s">
        <v>47</v>
      </c>
      <c r="K42" t="s">
        <v>28</v>
      </c>
      <c r="L42" t="s">
        <v>64</v>
      </c>
      <c r="M42">
        <v>7</v>
      </c>
      <c r="N42" t="s">
        <v>55</v>
      </c>
      <c r="O42" t="s">
        <v>63</v>
      </c>
      <c r="P42" t="s">
        <v>27</v>
      </c>
      <c r="Q42" t="s">
        <v>43</v>
      </c>
      <c r="R42" t="s">
        <v>35</v>
      </c>
      <c r="S42" t="s">
        <v>39</v>
      </c>
      <c r="T42" t="s">
        <v>35</v>
      </c>
      <c r="U42" t="s">
        <v>35</v>
      </c>
      <c r="V42" t="str">
        <f t="shared" si="1"/>
        <v>SSSS-C</v>
      </c>
      <c r="W42">
        <v>4</v>
      </c>
      <c r="Y42" t="str">
        <f t="shared" si="2"/>
        <v>672Q-7</v>
      </c>
      <c r="AA42">
        <v>5</v>
      </c>
      <c r="AB42">
        <v>8</v>
      </c>
      <c r="AD42">
        <f t="shared" si="3"/>
        <v>13</v>
      </c>
      <c r="AE42">
        <v>57</v>
      </c>
    </row>
    <row r="43" spans="1:31" x14ac:dyDescent="0.35">
      <c r="A43" t="s">
        <v>23</v>
      </c>
      <c r="B43">
        <v>3</v>
      </c>
      <c r="D43" t="s">
        <v>88</v>
      </c>
      <c r="E43">
        <v>4</v>
      </c>
      <c r="F43" t="s">
        <v>66</v>
      </c>
      <c r="G43">
        <v>5</v>
      </c>
      <c r="H43" t="s">
        <v>38</v>
      </c>
      <c r="I43" t="s">
        <v>32</v>
      </c>
      <c r="J43" t="s">
        <v>47</v>
      </c>
      <c r="K43" t="s">
        <v>38</v>
      </c>
      <c r="L43" t="s">
        <v>64</v>
      </c>
      <c r="M43">
        <v>7</v>
      </c>
      <c r="N43" t="s">
        <v>55</v>
      </c>
      <c r="O43" t="s">
        <v>51</v>
      </c>
      <c r="P43" t="s">
        <v>44</v>
      </c>
      <c r="Q43" t="s">
        <v>35</v>
      </c>
      <c r="R43" t="s">
        <v>35</v>
      </c>
      <c r="S43" t="s">
        <v>75</v>
      </c>
      <c r="T43" t="s">
        <v>73</v>
      </c>
      <c r="U43" t="s">
        <v>35</v>
      </c>
      <c r="V43" t="str">
        <f t="shared" si="1"/>
        <v>DHSC-C</v>
      </c>
      <c r="W43">
        <v>0</v>
      </c>
      <c r="Y43" t="str">
        <f t="shared" si="2"/>
        <v>6789-7</v>
      </c>
      <c r="AA43">
        <v>1</v>
      </c>
      <c r="AB43">
        <v>16</v>
      </c>
      <c r="AC43">
        <v>8</v>
      </c>
      <c r="AD43">
        <f t="shared" si="3"/>
        <v>25</v>
      </c>
      <c r="AE43">
        <v>58</v>
      </c>
    </row>
    <row r="44" spans="1:31" x14ac:dyDescent="0.35">
      <c r="A44" t="s">
        <v>36</v>
      </c>
      <c r="B44">
        <v>3</v>
      </c>
      <c r="D44" t="s">
        <v>88</v>
      </c>
      <c r="E44">
        <v>5</v>
      </c>
      <c r="F44" t="s">
        <v>32</v>
      </c>
      <c r="G44" t="s">
        <v>47</v>
      </c>
      <c r="H44" t="s">
        <v>38</v>
      </c>
      <c r="I44" t="s">
        <v>62</v>
      </c>
      <c r="J44" t="s">
        <v>47</v>
      </c>
      <c r="K44" t="s">
        <v>28</v>
      </c>
      <c r="L44" t="s">
        <v>37</v>
      </c>
      <c r="M44">
        <v>9</v>
      </c>
      <c r="N44" t="s">
        <v>38</v>
      </c>
      <c r="O44" t="s">
        <v>54</v>
      </c>
      <c r="P44" t="s">
        <v>79</v>
      </c>
      <c r="Q44" t="s">
        <v>85</v>
      </c>
      <c r="R44" t="s">
        <v>35</v>
      </c>
      <c r="S44" t="s">
        <v>67</v>
      </c>
      <c r="T44" t="s">
        <v>35</v>
      </c>
      <c r="U44" t="s">
        <v>35</v>
      </c>
      <c r="V44" t="str">
        <f t="shared" si="1"/>
        <v>CDCD-D</v>
      </c>
      <c r="W44">
        <v>0</v>
      </c>
      <c r="Y44" t="str">
        <f t="shared" si="2"/>
        <v>87A2-9</v>
      </c>
      <c r="AA44">
        <v>2</v>
      </c>
      <c r="AB44">
        <v>5</v>
      </c>
      <c r="AC44">
        <v>8</v>
      </c>
      <c r="AD44">
        <f t="shared" si="3"/>
        <v>15</v>
      </c>
      <c r="AE44">
        <v>72</v>
      </c>
    </row>
    <row r="45" spans="1:31" x14ac:dyDescent="0.35">
      <c r="A45" t="s">
        <v>23</v>
      </c>
      <c r="B45">
        <v>3</v>
      </c>
      <c r="D45" t="s">
        <v>88</v>
      </c>
      <c r="E45">
        <v>5</v>
      </c>
      <c r="F45" t="s">
        <v>65</v>
      </c>
      <c r="G45" t="s">
        <v>58</v>
      </c>
      <c r="H45" t="s">
        <v>26</v>
      </c>
      <c r="I45" t="s">
        <v>66</v>
      </c>
      <c r="J45">
        <v>5</v>
      </c>
      <c r="K45" t="s">
        <v>38</v>
      </c>
      <c r="L45" t="s">
        <v>37</v>
      </c>
      <c r="M45">
        <v>9</v>
      </c>
      <c r="N45" t="s">
        <v>38</v>
      </c>
      <c r="O45" t="s">
        <v>75</v>
      </c>
      <c r="P45" t="s">
        <v>27</v>
      </c>
      <c r="Q45" t="s">
        <v>35</v>
      </c>
      <c r="R45" t="s">
        <v>34</v>
      </c>
      <c r="S45" t="s">
        <v>56</v>
      </c>
      <c r="T45" t="s">
        <v>35</v>
      </c>
      <c r="U45" t="s">
        <v>35</v>
      </c>
      <c r="V45" t="str">
        <f t="shared" si="1"/>
        <v>SSDD-D</v>
      </c>
      <c r="W45">
        <v>0</v>
      </c>
      <c r="Y45" t="str">
        <f t="shared" si="2"/>
        <v>87A8-9</v>
      </c>
      <c r="AA45">
        <v>4</v>
      </c>
      <c r="AB45">
        <v>12</v>
      </c>
      <c r="AD45">
        <f t="shared" si="3"/>
        <v>16</v>
      </c>
      <c r="AE45">
        <v>74</v>
      </c>
    </row>
    <row r="46" spans="1:31" x14ac:dyDescent="0.35">
      <c r="A46" t="s">
        <v>36</v>
      </c>
      <c r="B46">
        <v>3</v>
      </c>
      <c r="D46" t="s">
        <v>88</v>
      </c>
      <c r="E46">
        <v>6</v>
      </c>
      <c r="F46" t="s">
        <v>34</v>
      </c>
      <c r="G46" t="s">
        <v>58</v>
      </c>
      <c r="H46" t="s">
        <v>38</v>
      </c>
      <c r="I46" t="s">
        <v>42</v>
      </c>
      <c r="J46">
        <v>4</v>
      </c>
      <c r="K46" t="s">
        <v>26</v>
      </c>
      <c r="L46" t="s">
        <v>69</v>
      </c>
      <c r="M46">
        <v>5</v>
      </c>
      <c r="N46" t="s">
        <v>55</v>
      </c>
      <c r="O46" t="s">
        <v>81</v>
      </c>
      <c r="P46" t="s">
        <v>35</v>
      </c>
      <c r="Q46" t="s">
        <v>29</v>
      </c>
      <c r="R46" t="s">
        <v>86</v>
      </c>
      <c r="S46" t="s">
        <v>35</v>
      </c>
      <c r="T46" t="s">
        <v>70</v>
      </c>
      <c r="U46" t="s">
        <v>35</v>
      </c>
      <c r="V46" t="str">
        <f t="shared" si="1"/>
        <v>CHSS-C</v>
      </c>
      <c r="W46">
        <v>0</v>
      </c>
      <c r="Y46" t="str">
        <f t="shared" si="2"/>
        <v>JJJ5-5</v>
      </c>
      <c r="AA46">
        <v>2</v>
      </c>
      <c r="AB46">
        <v>20</v>
      </c>
      <c r="AD46">
        <f t="shared" si="3"/>
        <v>22</v>
      </c>
      <c r="AE46">
        <v>94</v>
      </c>
    </row>
    <row r="47" spans="1:31" x14ac:dyDescent="0.35">
      <c r="A47" t="s">
        <v>23</v>
      </c>
      <c r="B47">
        <v>3</v>
      </c>
      <c r="D47" t="s">
        <v>88</v>
      </c>
      <c r="E47">
        <v>6</v>
      </c>
      <c r="F47" t="s">
        <v>82</v>
      </c>
      <c r="G47">
        <v>6</v>
      </c>
      <c r="H47" t="s">
        <v>55</v>
      </c>
      <c r="I47" t="s">
        <v>63</v>
      </c>
      <c r="J47">
        <v>6</v>
      </c>
      <c r="K47" t="s">
        <v>28</v>
      </c>
      <c r="L47" t="s">
        <v>69</v>
      </c>
      <c r="M47">
        <v>5</v>
      </c>
      <c r="N47" t="s">
        <v>55</v>
      </c>
      <c r="O47" t="s">
        <v>54</v>
      </c>
      <c r="P47" t="s">
        <v>52</v>
      </c>
      <c r="Q47" t="s">
        <v>35</v>
      </c>
      <c r="R47" t="s">
        <v>53</v>
      </c>
      <c r="S47" t="s">
        <v>35</v>
      </c>
      <c r="T47" t="s">
        <v>87</v>
      </c>
      <c r="U47" t="s">
        <v>35</v>
      </c>
      <c r="V47" t="str">
        <f t="shared" si="1"/>
        <v>CDHS-C</v>
      </c>
      <c r="W47">
        <v>0</v>
      </c>
      <c r="Y47" t="str">
        <f t="shared" si="2"/>
        <v>8JQ10-5</v>
      </c>
      <c r="AA47">
        <v>3</v>
      </c>
      <c r="AB47">
        <v>9</v>
      </c>
      <c r="AC47">
        <v>12</v>
      </c>
      <c r="AD47">
        <f t="shared" si="3"/>
        <v>24</v>
      </c>
      <c r="AE47">
        <v>98</v>
      </c>
    </row>
    <row r="48" spans="1:31" x14ac:dyDescent="0.35">
      <c r="A48" t="s">
        <v>36</v>
      </c>
      <c r="B48">
        <v>3</v>
      </c>
      <c r="D48" t="s">
        <v>88</v>
      </c>
      <c r="E48">
        <v>7</v>
      </c>
      <c r="F48" t="s">
        <v>86</v>
      </c>
      <c r="G48" t="s">
        <v>30</v>
      </c>
      <c r="H48" t="s">
        <v>28</v>
      </c>
      <c r="I48" t="s">
        <v>67</v>
      </c>
      <c r="J48">
        <v>2</v>
      </c>
      <c r="K48" t="s">
        <v>38</v>
      </c>
      <c r="L48" t="s">
        <v>81</v>
      </c>
      <c r="M48" t="s">
        <v>30</v>
      </c>
      <c r="N48" t="s">
        <v>55</v>
      </c>
      <c r="O48" t="s">
        <v>64</v>
      </c>
      <c r="P48" t="s">
        <v>56</v>
      </c>
      <c r="Q48" t="s">
        <v>35</v>
      </c>
      <c r="R48" t="s">
        <v>42</v>
      </c>
      <c r="S48" t="s">
        <v>60</v>
      </c>
      <c r="T48" t="s">
        <v>35</v>
      </c>
      <c r="U48" t="s">
        <v>35</v>
      </c>
      <c r="V48" t="str">
        <f t="shared" si="1"/>
        <v>CDHS-C</v>
      </c>
      <c r="W48">
        <v>0</v>
      </c>
      <c r="Y48" t="str">
        <f t="shared" si="2"/>
        <v>7844-J</v>
      </c>
      <c r="AA48">
        <v>10</v>
      </c>
      <c r="AB48">
        <v>5</v>
      </c>
      <c r="AC48">
        <v>6</v>
      </c>
      <c r="AD48">
        <f t="shared" si="3"/>
        <v>21</v>
      </c>
      <c r="AE48">
        <v>115</v>
      </c>
    </row>
    <row r="49" spans="1:31" x14ac:dyDescent="0.35">
      <c r="A49" t="s">
        <v>23</v>
      </c>
      <c r="B49">
        <v>3</v>
      </c>
      <c r="D49" t="s">
        <v>88</v>
      </c>
      <c r="E49">
        <v>7</v>
      </c>
      <c r="F49" t="s">
        <v>29</v>
      </c>
      <c r="G49" t="s">
        <v>30</v>
      </c>
      <c r="H49" t="s">
        <v>26</v>
      </c>
      <c r="I49" t="s">
        <v>44</v>
      </c>
      <c r="J49">
        <v>7</v>
      </c>
      <c r="K49" t="s">
        <v>26</v>
      </c>
      <c r="L49" t="s">
        <v>81</v>
      </c>
      <c r="M49" t="s">
        <v>30</v>
      </c>
      <c r="N49" t="s">
        <v>55</v>
      </c>
      <c r="O49" t="s">
        <v>50</v>
      </c>
      <c r="P49" t="s">
        <v>66</v>
      </c>
      <c r="Q49" t="s">
        <v>35</v>
      </c>
      <c r="R49" t="s">
        <v>59</v>
      </c>
      <c r="S49" t="s">
        <v>63</v>
      </c>
      <c r="T49" t="s">
        <v>35</v>
      </c>
      <c r="U49" t="s">
        <v>35</v>
      </c>
      <c r="V49" t="str">
        <f t="shared" si="1"/>
        <v>HDDS-C</v>
      </c>
      <c r="W49">
        <v>0</v>
      </c>
      <c r="Y49" t="str">
        <f t="shared" si="2"/>
        <v>6546-J</v>
      </c>
      <c r="AA49">
        <v>7</v>
      </c>
      <c r="AB49">
        <v>14</v>
      </c>
      <c r="AC49">
        <v>0</v>
      </c>
      <c r="AD49">
        <f t="shared" si="3"/>
        <v>21</v>
      </c>
      <c r="AE49">
        <v>119</v>
      </c>
    </row>
    <row r="50" spans="1:31" x14ac:dyDescent="0.35">
      <c r="A50" t="s">
        <v>36</v>
      </c>
      <c r="B50">
        <v>3</v>
      </c>
      <c r="D50" t="s">
        <v>88</v>
      </c>
      <c r="E50">
        <v>8</v>
      </c>
      <c r="F50" t="s">
        <v>37</v>
      </c>
      <c r="G50">
        <v>9</v>
      </c>
      <c r="H50" t="s">
        <v>38</v>
      </c>
      <c r="I50" t="s">
        <v>61</v>
      </c>
      <c r="J50">
        <v>1</v>
      </c>
      <c r="K50" t="s">
        <v>38</v>
      </c>
      <c r="L50" t="s">
        <v>63</v>
      </c>
      <c r="M50">
        <v>6</v>
      </c>
      <c r="N50" t="s">
        <v>28</v>
      </c>
      <c r="O50" t="s">
        <v>83</v>
      </c>
      <c r="P50" t="s">
        <v>34</v>
      </c>
      <c r="Q50" t="s">
        <v>35</v>
      </c>
      <c r="R50" t="s">
        <v>39</v>
      </c>
      <c r="S50" t="s">
        <v>80</v>
      </c>
      <c r="T50" t="s">
        <v>35</v>
      </c>
      <c r="U50" t="s">
        <v>35</v>
      </c>
      <c r="V50" t="str">
        <f t="shared" si="1"/>
        <v>CDSC-S</v>
      </c>
      <c r="W50">
        <v>0</v>
      </c>
      <c r="Y50" t="str">
        <f t="shared" si="2"/>
        <v>KAQ4-6</v>
      </c>
      <c r="AA50">
        <v>0</v>
      </c>
      <c r="AB50">
        <v>4</v>
      </c>
      <c r="AD50">
        <f t="shared" si="3"/>
        <v>4</v>
      </c>
      <c r="AE50">
        <v>119</v>
      </c>
    </row>
    <row r="51" spans="1:31" x14ac:dyDescent="0.35">
      <c r="A51" t="s">
        <v>23</v>
      </c>
      <c r="B51">
        <v>3</v>
      </c>
      <c r="D51" t="s">
        <v>88</v>
      </c>
      <c r="E51">
        <v>8</v>
      </c>
      <c r="F51" t="s">
        <v>79</v>
      </c>
      <c r="G51">
        <v>7</v>
      </c>
      <c r="H51" t="s">
        <v>38</v>
      </c>
      <c r="I51" t="s">
        <v>41</v>
      </c>
      <c r="J51">
        <v>3</v>
      </c>
      <c r="K51" t="s">
        <v>26</v>
      </c>
      <c r="L51" t="s">
        <v>63</v>
      </c>
      <c r="M51">
        <v>6</v>
      </c>
      <c r="N51" t="s">
        <v>28</v>
      </c>
      <c r="O51" t="s">
        <v>54</v>
      </c>
      <c r="P51" t="s">
        <v>29</v>
      </c>
      <c r="Q51" t="s">
        <v>43</v>
      </c>
      <c r="R51" t="s">
        <v>35</v>
      </c>
      <c r="S51" t="s">
        <v>69</v>
      </c>
      <c r="T51" t="s">
        <v>35</v>
      </c>
      <c r="U51" t="s">
        <v>35</v>
      </c>
      <c r="V51" t="str">
        <f t="shared" si="1"/>
        <v>CHSC-S</v>
      </c>
      <c r="W51">
        <v>0</v>
      </c>
      <c r="Y51" t="str">
        <f t="shared" si="2"/>
        <v>8J25-6</v>
      </c>
      <c r="AA51">
        <v>4</v>
      </c>
      <c r="AB51">
        <v>4</v>
      </c>
      <c r="AC51">
        <v>2</v>
      </c>
      <c r="AD51">
        <f t="shared" si="3"/>
        <v>10</v>
      </c>
      <c r="AE51">
        <v>119</v>
      </c>
    </row>
    <row r="52" spans="1:31" x14ac:dyDescent="0.35">
      <c r="A52" t="s">
        <v>36</v>
      </c>
      <c r="B52">
        <v>3</v>
      </c>
      <c r="D52" t="s">
        <v>88</v>
      </c>
      <c r="E52">
        <v>9</v>
      </c>
      <c r="F52" t="s">
        <v>79</v>
      </c>
      <c r="G52">
        <v>7</v>
      </c>
      <c r="H52" t="s">
        <v>38</v>
      </c>
      <c r="I52" t="s">
        <v>71</v>
      </c>
      <c r="J52" t="s">
        <v>40</v>
      </c>
      <c r="K52" t="s">
        <v>55</v>
      </c>
      <c r="L52" t="s">
        <v>45</v>
      </c>
      <c r="M52">
        <v>8</v>
      </c>
      <c r="N52" t="s">
        <v>26</v>
      </c>
      <c r="O52" t="s">
        <v>27</v>
      </c>
      <c r="P52" t="s">
        <v>80</v>
      </c>
      <c r="Q52" t="s">
        <v>59</v>
      </c>
      <c r="R52" t="s">
        <v>35</v>
      </c>
      <c r="S52" t="s">
        <v>33</v>
      </c>
      <c r="T52" t="s">
        <v>35</v>
      </c>
      <c r="U52" t="s">
        <v>35</v>
      </c>
      <c r="V52" t="str">
        <f t="shared" si="1"/>
        <v>SCDC-H</v>
      </c>
      <c r="W52">
        <v>0</v>
      </c>
      <c r="Y52" t="str">
        <f t="shared" si="2"/>
        <v>7442-8</v>
      </c>
      <c r="AA52">
        <v>1</v>
      </c>
      <c r="AB52">
        <v>6</v>
      </c>
      <c r="AD52">
        <f t="shared" si="3"/>
        <v>7</v>
      </c>
      <c r="AE52">
        <v>120</v>
      </c>
    </row>
    <row r="53" spans="1:31" x14ac:dyDescent="0.35">
      <c r="A53" t="s">
        <v>23</v>
      </c>
      <c r="B53">
        <v>3</v>
      </c>
      <c r="D53" t="s">
        <v>88</v>
      </c>
      <c r="E53">
        <v>9</v>
      </c>
      <c r="F53" t="s">
        <v>31</v>
      </c>
      <c r="G53">
        <v>3</v>
      </c>
      <c r="H53" t="s">
        <v>38</v>
      </c>
      <c r="I53" t="s">
        <v>63</v>
      </c>
      <c r="J53">
        <v>6</v>
      </c>
      <c r="K53" t="s">
        <v>28</v>
      </c>
      <c r="L53" t="s">
        <v>45</v>
      </c>
      <c r="M53">
        <v>8</v>
      </c>
      <c r="N53" t="s">
        <v>26</v>
      </c>
      <c r="O53" t="s">
        <v>48</v>
      </c>
      <c r="P53" t="s">
        <v>66</v>
      </c>
      <c r="Q53" t="s">
        <v>35</v>
      </c>
      <c r="R53" t="s">
        <v>70</v>
      </c>
      <c r="S53" t="s">
        <v>72</v>
      </c>
      <c r="T53" t="s">
        <v>35</v>
      </c>
      <c r="U53" t="s">
        <v>35</v>
      </c>
      <c r="V53" t="str">
        <f t="shared" si="1"/>
        <v>HDSS-H</v>
      </c>
      <c r="W53">
        <v>0</v>
      </c>
      <c r="Y53" t="str">
        <f t="shared" si="2"/>
        <v>10553-8</v>
      </c>
      <c r="AA53">
        <v>0</v>
      </c>
      <c r="AB53">
        <v>6</v>
      </c>
      <c r="AD53">
        <f t="shared" si="3"/>
        <v>6</v>
      </c>
      <c r="AE53">
        <v>119</v>
      </c>
    </row>
    <row r="54" spans="1:31" x14ac:dyDescent="0.35">
      <c r="A54" t="s">
        <v>36</v>
      </c>
      <c r="B54">
        <v>4</v>
      </c>
      <c r="D54" t="s">
        <v>89</v>
      </c>
      <c r="E54">
        <v>1</v>
      </c>
      <c r="F54" t="s">
        <v>85</v>
      </c>
      <c r="G54" t="s">
        <v>58</v>
      </c>
      <c r="H54" t="s">
        <v>55</v>
      </c>
      <c r="I54" t="s">
        <v>75</v>
      </c>
      <c r="J54">
        <v>8</v>
      </c>
      <c r="K54" t="s">
        <v>28</v>
      </c>
      <c r="L54" t="s">
        <v>71</v>
      </c>
      <c r="M54" t="s">
        <v>40</v>
      </c>
      <c r="N54" t="s">
        <v>55</v>
      </c>
      <c r="O54" t="s">
        <v>86</v>
      </c>
      <c r="P54" t="s">
        <v>53</v>
      </c>
      <c r="Q54" t="s">
        <v>35</v>
      </c>
      <c r="R54" t="s">
        <v>78</v>
      </c>
      <c r="S54" t="s">
        <v>83</v>
      </c>
      <c r="T54" t="s">
        <v>35</v>
      </c>
      <c r="U54" t="s">
        <v>35</v>
      </c>
      <c r="V54" t="str">
        <f t="shared" si="1"/>
        <v>SHDC-C</v>
      </c>
      <c r="W54">
        <v>0</v>
      </c>
      <c r="Y54" t="str">
        <f t="shared" si="2"/>
        <v>JQQK-Q</v>
      </c>
      <c r="AA54">
        <v>0</v>
      </c>
      <c r="AB54">
        <v>15</v>
      </c>
      <c r="AC54">
        <v>2</v>
      </c>
      <c r="AD54">
        <f t="shared" si="3"/>
        <v>17</v>
      </c>
      <c r="AE54">
        <v>17</v>
      </c>
    </row>
    <row r="55" spans="1:31" x14ac:dyDescent="0.35">
      <c r="A55" t="s">
        <v>23</v>
      </c>
      <c r="B55">
        <v>4</v>
      </c>
      <c r="D55" t="s">
        <v>89</v>
      </c>
      <c r="E55">
        <v>1</v>
      </c>
      <c r="F55" t="s">
        <v>31</v>
      </c>
      <c r="G55">
        <v>3</v>
      </c>
      <c r="H55" t="s">
        <v>38</v>
      </c>
      <c r="I55" t="s">
        <v>54</v>
      </c>
      <c r="J55">
        <v>8</v>
      </c>
      <c r="K55" t="s">
        <v>55</v>
      </c>
      <c r="L55" t="s">
        <v>71</v>
      </c>
      <c r="M55" t="s">
        <v>40</v>
      </c>
      <c r="N55" t="s">
        <v>55</v>
      </c>
      <c r="O55" t="s">
        <v>69</v>
      </c>
      <c r="P55" t="s">
        <v>51</v>
      </c>
      <c r="Q55" t="s">
        <v>35</v>
      </c>
      <c r="R55" t="s">
        <v>59</v>
      </c>
      <c r="S55" t="s">
        <v>41</v>
      </c>
      <c r="T55" t="s">
        <v>35</v>
      </c>
      <c r="U55" t="s">
        <v>35</v>
      </c>
      <c r="V55" t="str">
        <f t="shared" si="1"/>
        <v>CDDH-C</v>
      </c>
      <c r="W55">
        <v>0</v>
      </c>
      <c r="Y55" t="str">
        <f t="shared" si="2"/>
        <v>5643-Q</v>
      </c>
      <c r="AA55">
        <v>5</v>
      </c>
      <c r="AB55">
        <v>8</v>
      </c>
      <c r="AC55">
        <v>0</v>
      </c>
      <c r="AD55">
        <f t="shared" si="3"/>
        <v>13</v>
      </c>
      <c r="AE55">
        <v>13</v>
      </c>
    </row>
    <row r="56" spans="1:31" x14ac:dyDescent="0.35">
      <c r="A56" t="s">
        <v>36</v>
      </c>
      <c r="B56">
        <v>4</v>
      </c>
      <c r="D56" t="s">
        <v>89</v>
      </c>
      <c r="E56">
        <v>2</v>
      </c>
      <c r="F56" t="s">
        <v>64</v>
      </c>
      <c r="G56">
        <v>7</v>
      </c>
      <c r="H56" t="s">
        <v>55</v>
      </c>
      <c r="I56" t="s">
        <v>73</v>
      </c>
      <c r="J56">
        <v>9</v>
      </c>
      <c r="K56" t="s">
        <v>55</v>
      </c>
      <c r="L56" t="s">
        <v>44</v>
      </c>
      <c r="M56">
        <v>7</v>
      </c>
      <c r="N56" t="s">
        <v>26</v>
      </c>
      <c r="O56" t="s">
        <v>42</v>
      </c>
      <c r="P56" t="s">
        <v>31</v>
      </c>
      <c r="Q56" t="s">
        <v>35</v>
      </c>
      <c r="R56" t="s">
        <v>70</v>
      </c>
      <c r="S56" t="s">
        <v>25</v>
      </c>
      <c r="T56" t="s">
        <v>35</v>
      </c>
      <c r="U56" t="s">
        <v>35</v>
      </c>
      <c r="V56" t="str">
        <f t="shared" si="1"/>
        <v>HDSH-H</v>
      </c>
      <c r="W56">
        <v>0</v>
      </c>
      <c r="Y56" t="str">
        <f t="shared" si="2"/>
        <v>4355-7</v>
      </c>
      <c r="AA56">
        <v>11</v>
      </c>
      <c r="AB56">
        <v>12</v>
      </c>
      <c r="AD56">
        <f t="shared" si="3"/>
        <v>23</v>
      </c>
      <c r="AE56">
        <v>40</v>
      </c>
    </row>
    <row r="57" spans="1:31" x14ac:dyDescent="0.35">
      <c r="A57" t="s">
        <v>23</v>
      </c>
      <c r="B57">
        <v>4</v>
      </c>
      <c r="D57" t="s">
        <v>89</v>
      </c>
      <c r="E57">
        <v>2</v>
      </c>
      <c r="F57" t="s">
        <v>65</v>
      </c>
      <c r="G57" t="s">
        <v>58</v>
      </c>
      <c r="H57" t="s">
        <v>26</v>
      </c>
      <c r="I57" t="s">
        <v>74</v>
      </c>
      <c r="J57">
        <v>9</v>
      </c>
      <c r="K57" t="s">
        <v>26</v>
      </c>
      <c r="L57" t="s">
        <v>44</v>
      </c>
      <c r="M57">
        <v>7</v>
      </c>
      <c r="N57" t="s">
        <v>26</v>
      </c>
      <c r="O57" t="s">
        <v>80</v>
      </c>
      <c r="P57" t="s">
        <v>71</v>
      </c>
      <c r="Q57" t="s">
        <v>63</v>
      </c>
      <c r="R57" t="s">
        <v>35</v>
      </c>
      <c r="S57" t="s">
        <v>66</v>
      </c>
      <c r="T57" t="s">
        <v>35</v>
      </c>
      <c r="U57" t="s">
        <v>35</v>
      </c>
      <c r="V57" t="str">
        <f t="shared" si="1"/>
        <v>CCSD-H</v>
      </c>
      <c r="W57">
        <v>0</v>
      </c>
      <c r="Y57" t="str">
        <f t="shared" si="2"/>
        <v>4Q65-7</v>
      </c>
      <c r="AA57">
        <v>3</v>
      </c>
      <c r="AB57">
        <v>8</v>
      </c>
      <c r="AC57">
        <v>4</v>
      </c>
      <c r="AD57">
        <f t="shared" si="3"/>
        <v>15</v>
      </c>
      <c r="AE57">
        <v>28</v>
      </c>
    </row>
    <row r="58" spans="1:31" x14ac:dyDescent="0.35">
      <c r="A58" t="s">
        <v>36</v>
      </c>
      <c r="B58">
        <v>4</v>
      </c>
      <c r="D58" t="s">
        <v>89</v>
      </c>
      <c r="E58">
        <v>3</v>
      </c>
      <c r="F58" t="s">
        <v>71</v>
      </c>
      <c r="G58" t="s">
        <v>40</v>
      </c>
      <c r="H58" t="s">
        <v>55</v>
      </c>
      <c r="I58" t="s">
        <v>27</v>
      </c>
      <c r="J58">
        <v>7</v>
      </c>
      <c r="K58" t="s">
        <v>28</v>
      </c>
      <c r="L58" t="s">
        <v>33</v>
      </c>
      <c r="M58">
        <v>2</v>
      </c>
      <c r="N58" t="s">
        <v>55</v>
      </c>
      <c r="O58" t="s">
        <v>61</v>
      </c>
      <c r="P58" t="s">
        <v>80</v>
      </c>
      <c r="Q58" t="s">
        <v>77</v>
      </c>
      <c r="R58" t="s">
        <v>35</v>
      </c>
      <c r="S58" t="s">
        <v>74</v>
      </c>
      <c r="T58" t="s">
        <v>35</v>
      </c>
      <c r="U58" t="s">
        <v>35</v>
      </c>
      <c r="V58" t="str">
        <f t="shared" si="1"/>
        <v>DCHH-C</v>
      </c>
      <c r="W58">
        <v>0</v>
      </c>
      <c r="Y58" t="str">
        <f t="shared" si="2"/>
        <v>10429-2</v>
      </c>
      <c r="AA58">
        <v>4</v>
      </c>
      <c r="AB58">
        <v>4</v>
      </c>
      <c r="AC58">
        <v>5</v>
      </c>
      <c r="AD58">
        <f t="shared" si="3"/>
        <v>13</v>
      </c>
      <c r="AE58">
        <v>53</v>
      </c>
    </row>
    <row r="59" spans="1:31" x14ac:dyDescent="0.35">
      <c r="A59" t="s">
        <v>23</v>
      </c>
      <c r="B59">
        <v>4</v>
      </c>
      <c r="D59" t="s">
        <v>89</v>
      </c>
      <c r="E59">
        <v>3</v>
      </c>
      <c r="F59" t="s">
        <v>41</v>
      </c>
      <c r="G59">
        <v>3</v>
      </c>
      <c r="H59" t="s">
        <v>26</v>
      </c>
      <c r="I59" t="s">
        <v>65</v>
      </c>
      <c r="J59" t="s">
        <v>58</v>
      </c>
      <c r="K59" t="s">
        <v>26</v>
      </c>
      <c r="L59" t="s">
        <v>33</v>
      </c>
      <c r="M59">
        <v>2</v>
      </c>
      <c r="N59" t="s">
        <v>55</v>
      </c>
      <c r="O59" t="s">
        <v>66</v>
      </c>
      <c r="P59" t="s">
        <v>86</v>
      </c>
      <c r="Q59" t="s">
        <v>35</v>
      </c>
      <c r="R59" t="s">
        <v>37</v>
      </c>
      <c r="S59" t="s">
        <v>63</v>
      </c>
      <c r="T59" t="s">
        <v>35</v>
      </c>
      <c r="U59" t="s">
        <v>35</v>
      </c>
      <c r="V59" t="str">
        <f t="shared" si="1"/>
        <v>DSDS-C</v>
      </c>
      <c r="W59">
        <v>0</v>
      </c>
      <c r="Y59" t="str">
        <f t="shared" si="2"/>
        <v>5J96-2</v>
      </c>
      <c r="AA59">
        <v>3</v>
      </c>
      <c r="AB59">
        <v>4</v>
      </c>
      <c r="AD59">
        <f t="shared" si="3"/>
        <v>7</v>
      </c>
      <c r="AE59">
        <v>35</v>
      </c>
    </row>
    <row r="60" spans="1:31" x14ac:dyDescent="0.35">
      <c r="A60" t="s">
        <v>36</v>
      </c>
      <c r="B60">
        <v>4</v>
      </c>
      <c r="D60" t="s">
        <v>89</v>
      </c>
      <c r="E60">
        <v>4</v>
      </c>
      <c r="F60" t="s">
        <v>78</v>
      </c>
      <c r="G60" t="s">
        <v>40</v>
      </c>
      <c r="H60" t="s">
        <v>38</v>
      </c>
      <c r="I60" t="s">
        <v>61</v>
      </c>
      <c r="J60">
        <v>1</v>
      </c>
      <c r="K60" t="s">
        <v>38</v>
      </c>
      <c r="L60" t="s">
        <v>63</v>
      </c>
      <c r="M60">
        <v>6</v>
      </c>
      <c r="N60" t="s">
        <v>28</v>
      </c>
      <c r="O60" t="s">
        <v>67</v>
      </c>
      <c r="P60" t="s">
        <v>44</v>
      </c>
      <c r="Q60" t="s">
        <v>35</v>
      </c>
      <c r="R60" t="s">
        <v>64</v>
      </c>
      <c r="S60" t="s">
        <v>57</v>
      </c>
      <c r="T60" t="s">
        <v>35</v>
      </c>
      <c r="U60" t="s">
        <v>35</v>
      </c>
      <c r="V60" t="str">
        <f t="shared" si="1"/>
        <v>DHCS-S</v>
      </c>
      <c r="W60">
        <v>0</v>
      </c>
      <c r="Y60" t="str">
        <f t="shared" si="2"/>
        <v>277A-6</v>
      </c>
      <c r="AA60">
        <v>1</v>
      </c>
      <c r="AB60">
        <v>6</v>
      </c>
      <c r="AD60">
        <f t="shared" si="3"/>
        <v>7</v>
      </c>
      <c r="AE60">
        <v>60</v>
      </c>
    </row>
    <row r="61" spans="1:31" x14ac:dyDescent="0.35">
      <c r="A61" t="s">
        <v>23</v>
      </c>
      <c r="B61">
        <v>4</v>
      </c>
      <c r="D61" t="s">
        <v>89</v>
      </c>
      <c r="E61">
        <v>4</v>
      </c>
      <c r="F61" t="s">
        <v>37</v>
      </c>
      <c r="G61">
        <v>9</v>
      </c>
      <c r="H61" t="s">
        <v>38</v>
      </c>
      <c r="I61" t="s">
        <v>50</v>
      </c>
      <c r="J61">
        <v>6</v>
      </c>
      <c r="K61" t="s">
        <v>26</v>
      </c>
      <c r="L61" t="s">
        <v>63</v>
      </c>
      <c r="M61">
        <v>6</v>
      </c>
      <c r="N61" t="s">
        <v>28</v>
      </c>
      <c r="O61" t="s">
        <v>80</v>
      </c>
      <c r="P61" t="s">
        <v>86</v>
      </c>
      <c r="Q61" t="s">
        <v>75</v>
      </c>
      <c r="R61" t="s">
        <v>35</v>
      </c>
      <c r="S61" t="s">
        <v>41</v>
      </c>
      <c r="T61" t="s">
        <v>35</v>
      </c>
      <c r="U61" t="s">
        <v>35</v>
      </c>
      <c r="V61" t="str">
        <f t="shared" si="1"/>
        <v>CSSH-S</v>
      </c>
      <c r="W61">
        <v>0</v>
      </c>
      <c r="Y61" t="str">
        <f t="shared" si="2"/>
        <v>4J83-6</v>
      </c>
      <c r="AA61">
        <v>2</v>
      </c>
      <c r="AB61">
        <v>2</v>
      </c>
      <c r="AC61">
        <v>4</v>
      </c>
      <c r="AD61">
        <f t="shared" si="3"/>
        <v>8</v>
      </c>
      <c r="AE61">
        <v>43</v>
      </c>
    </row>
    <row r="62" spans="1:31" x14ac:dyDescent="0.35">
      <c r="A62" t="s">
        <v>36</v>
      </c>
      <c r="B62">
        <v>4</v>
      </c>
      <c r="D62" t="s">
        <v>89</v>
      </c>
      <c r="E62">
        <v>5</v>
      </c>
      <c r="F62" t="s">
        <v>75</v>
      </c>
      <c r="G62">
        <v>8</v>
      </c>
      <c r="H62" t="s">
        <v>28</v>
      </c>
      <c r="I62" t="s">
        <v>50</v>
      </c>
      <c r="J62">
        <v>6</v>
      </c>
      <c r="K62" t="s">
        <v>26</v>
      </c>
      <c r="L62" t="s">
        <v>49</v>
      </c>
      <c r="M62">
        <v>3</v>
      </c>
      <c r="N62" t="s">
        <v>55</v>
      </c>
      <c r="O62" t="s">
        <v>68</v>
      </c>
      <c r="P62" t="s">
        <v>87</v>
      </c>
      <c r="Q62" t="s">
        <v>35</v>
      </c>
      <c r="R62" t="s">
        <v>70</v>
      </c>
      <c r="S62" t="s">
        <v>83</v>
      </c>
      <c r="T62" t="s">
        <v>35</v>
      </c>
      <c r="U62" t="s">
        <v>35</v>
      </c>
      <c r="V62" t="str">
        <f t="shared" si="1"/>
        <v>SSSC-C</v>
      </c>
      <c r="W62">
        <v>0</v>
      </c>
      <c r="Y62" t="str">
        <f t="shared" si="2"/>
        <v>9105K-3</v>
      </c>
      <c r="AA62">
        <v>4</v>
      </c>
      <c r="AB62">
        <v>4</v>
      </c>
      <c r="AC62">
        <v>6</v>
      </c>
      <c r="AD62">
        <f t="shared" si="3"/>
        <v>14</v>
      </c>
      <c r="AE62">
        <v>74</v>
      </c>
    </row>
    <row r="63" spans="1:31" x14ac:dyDescent="0.35">
      <c r="A63" t="s">
        <v>23</v>
      </c>
      <c r="B63">
        <v>4</v>
      </c>
      <c r="D63" t="s">
        <v>89</v>
      </c>
      <c r="E63">
        <v>5</v>
      </c>
      <c r="F63" t="s">
        <v>34</v>
      </c>
      <c r="G63" t="s">
        <v>58</v>
      </c>
      <c r="H63" t="s">
        <v>38</v>
      </c>
      <c r="I63" t="s">
        <v>45</v>
      </c>
      <c r="J63">
        <v>8</v>
      </c>
      <c r="K63" t="s">
        <v>26</v>
      </c>
      <c r="L63" t="s">
        <v>49</v>
      </c>
      <c r="M63">
        <v>3</v>
      </c>
      <c r="N63" t="s">
        <v>55</v>
      </c>
      <c r="O63" t="s">
        <v>86</v>
      </c>
      <c r="P63" t="s">
        <v>35</v>
      </c>
      <c r="Q63" t="s">
        <v>41</v>
      </c>
      <c r="R63" t="s">
        <v>69</v>
      </c>
      <c r="S63" t="s">
        <v>80</v>
      </c>
      <c r="T63" t="s">
        <v>35</v>
      </c>
      <c r="U63" t="s">
        <v>35</v>
      </c>
      <c r="V63" t="str">
        <f t="shared" si="1"/>
        <v>SHCC-C</v>
      </c>
      <c r="W63">
        <v>0</v>
      </c>
      <c r="Y63" t="str">
        <f t="shared" si="2"/>
        <v>J354-3</v>
      </c>
      <c r="AA63">
        <v>3</v>
      </c>
      <c r="AB63">
        <v>10</v>
      </c>
      <c r="AD63">
        <f t="shared" si="3"/>
        <v>13</v>
      </c>
      <c r="AE63">
        <v>56</v>
      </c>
    </row>
    <row r="64" spans="1:31" x14ac:dyDescent="0.35">
      <c r="A64" t="s">
        <v>36</v>
      </c>
      <c r="B64">
        <v>4</v>
      </c>
      <c r="D64" t="s">
        <v>89</v>
      </c>
      <c r="E64">
        <v>6</v>
      </c>
      <c r="F64" t="s">
        <v>75</v>
      </c>
      <c r="G64">
        <v>8</v>
      </c>
      <c r="H64" t="s">
        <v>28</v>
      </c>
      <c r="I64" t="s">
        <v>45</v>
      </c>
      <c r="J64">
        <v>8</v>
      </c>
      <c r="K64" t="s">
        <v>26</v>
      </c>
      <c r="L64" t="s">
        <v>65</v>
      </c>
      <c r="M64" t="s">
        <v>58</v>
      </c>
      <c r="N64" t="s">
        <v>26</v>
      </c>
      <c r="O64" t="s">
        <v>37</v>
      </c>
      <c r="P64" t="s">
        <v>52</v>
      </c>
      <c r="Q64" t="s">
        <v>35</v>
      </c>
      <c r="R64" t="s">
        <v>69</v>
      </c>
      <c r="S64" t="s">
        <v>34</v>
      </c>
      <c r="T64" t="s">
        <v>35</v>
      </c>
      <c r="U64" t="s">
        <v>35</v>
      </c>
      <c r="V64" t="str">
        <f t="shared" si="1"/>
        <v>DDCD-H</v>
      </c>
      <c r="W64">
        <v>0</v>
      </c>
      <c r="Y64" t="str">
        <f t="shared" si="2"/>
        <v>9J5A-A</v>
      </c>
      <c r="AA64">
        <v>3</v>
      </c>
      <c r="AB64">
        <v>8</v>
      </c>
      <c r="AD64">
        <f t="shared" si="3"/>
        <v>11</v>
      </c>
      <c r="AE64">
        <v>85</v>
      </c>
    </row>
    <row r="65" spans="1:31" x14ac:dyDescent="0.35">
      <c r="A65" t="s">
        <v>23</v>
      </c>
      <c r="B65">
        <v>4</v>
      </c>
      <c r="D65" t="s">
        <v>89</v>
      </c>
      <c r="E65">
        <v>6</v>
      </c>
      <c r="F65" t="s">
        <v>83</v>
      </c>
      <c r="G65" t="s">
        <v>47</v>
      </c>
      <c r="H65" t="s">
        <v>55</v>
      </c>
      <c r="I65" t="s">
        <v>32</v>
      </c>
      <c r="J65" t="s">
        <v>47</v>
      </c>
      <c r="K65" t="s">
        <v>38</v>
      </c>
      <c r="L65" t="s">
        <v>65</v>
      </c>
      <c r="M65" t="s">
        <v>58</v>
      </c>
      <c r="N65" t="s">
        <v>26</v>
      </c>
      <c r="O65" t="s">
        <v>49</v>
      </c>
      <c r="P65" t="s">
        <v>73</v>
      </c>
      <c r="Q65" t="s">
        <v>35</v>
      </c>
      <c r="R65" t="s">
        <v>50</v>
      </c>
      <c r="S65" t="s">
        <v>48</v>
      </c>
      <c r="T65" t="s">
        <v>35</v>
      </c>
      <c r="U65" t="s">
        <v>35</v>
      </c>
      <c r="V65" t="str">
        <f t="shared" si="1"/>
        <v>CCHH-H</v>
      </c>
      <c r="W65">
        <v>0</v>
      </c>
      <c r="Y65" t="str">
        <f t="shared" si="2"/>
        <v>39610-A</v>
      </c>
      <c r="AA65">
        <v>2</v>
      </c>
      <c r="AB65">
        <v>2</v>
      </c>
      <c r="AC65">
        <v>4</v>
      </c>
      <c r="AD65">
        <f t="shared" si="3"/>
        <v>8</v>
      </c>
      <c r="AE65">
        <v>64</v>
      </c>
    </row>
    <row r="66" spans="1:31" x14ac:dyDescent="0.35">
      <c r="A66" t="s">
        <v>36</v>
      </c>
      <c r="B66">
        <v>4</v>
      </c>
      <c r="D66" t="s">
        <v>89</v>
      </c>
      <c r="E66">
        <v>7</v>
      </c>
      <c r="F66" t="s">
        <v>27</v>
      </c>
      <c r="G66">
        <v>7</v>
      </c>
      <c r="H66" t="s">
        <v>28</v>
      </c>
      <c r="I66" t="s">
        <v>85</v>
      </c>
      <c r="J66" t="s">
        <v>58</v>
      </c>
      <c r="K66" t="s">
        <v>55</v>
      </c>
      <c r="L66" t="s">
        <v>63</v>
      </c>
      <c r="M66">
        <v>6</v>
      </c>
      <c r="N66" t="s">
        <v>28</v>
      </c>
      <c r="O66" t="s">
        <v>39</v>
      </c>
      <c r="P66" t="s">
        <v>52</v>
      </c>
      <c r="Q66" t="s">
        <v>35</v>
      </c>
      <c r="R66" t="s">
        <v>25</v>
      </c>
      <c r="S66" t="s">
        <v>70</v>
      </c>
      <c r="T66" t="s">
        <v>35</v>
      </c>
      <c r="U66" t="s">
        <v>35</v>
      </c>
      <c r="V66" t="str">
        <f t="shared" si="1"/>
        <v>SDHS-S</v>
      </c>
      <c r="W66">
        <v>0</v>
      </c>
      <c r="Y66" t="str">
        <f t="shared" si="2"/>
        <v>QJ55-6</v>
      </c>
      <c r="AA66">
        <v>3</v>
      </c>
      <c r="AB66">
        <v>6</v>
      </c>
      <c r="AC66">
        <v>2</v>
      </c>
      <c r="AD66">
        <f t="shared" ref="AD66:AD85" si="4">AA66+AB66+AC66</f>
        <v>11</v>
      </c>
      <c r="AE66">
        <v>96</v>
      </c>
    </row>
    <row r="67" spans="1:31" x14ac:dyDescent="0.35">
      <c r="A67" t="s">
        <v>23</v>
      </c>
      <c r="B67">
        <v>4</v>
      </c>
      <c r="D67" t="s">
        <v>89</v>
      </c>
      <c r="E67">
        <v>7</v>
      </c>
      <c r="F67" t="s">
        <v>53</v>
      </c>
      <c r="G67" t="s">
        <v>40</v>
      </c>
      <c r="H67" t="s">
        <v>26</v>
      </c>
      <c r="I67" t="s">
        <v>77</v>
      </c>
      <c r="J67">
        <v>2</v>
      </c>
      <c r="K67" t="s">
        <v>26</v>
      </c>
      <c r="L67" t="s">
        <v>63</v>
      </c>
      <c r="M67">
        <v>6</v>
      </c>
      <c r="N67" t="s">
        <v>28</v>
      </c>
      <c r="O67" t="s">
        <v>84</v>
      </c>
      <c r="P67" t="s">
        <v>34</v>
      </c>
      <c r="Q67" t="s">
        <v>35</v>
      </c>
      <c r="R67" t="s">
        <v>74</v>
      </c>
      <c r="S67" t="s">
        <v>51</v>
      </c>
      <c r="T67" t="s">
        <v>35</v>
      </c>
      <c r="U67" t="s">
        <v>35</v>
      </c>
      <c r="V67" t="str">
        <f t="shared" ref="V67:V130" si="5">SUBSTITUTE(_xlfn.CONCAT(RIGHT(O67,1),RIGHT(P67,1),RIGHT(Q67,1),RIGHT(R67,1),RIGHT(S67,1),RIGHT(T67,1),RIGHT(U67,1),"-",N67),"O","")</f>
        <v>CDHD-S</v>
      </c>
      <c r="W67">
        <v>0</v>
      </c>
      <c r="Y67" t="str">
        <f t="shared" ref="Y67:Y130" si="6">SUBSTITUTE(SUBSTITUTE(_xlfn.CONCAT(LEFT(O67,1),LEFT(P67,1),LEFT(Q67,1),LEFT(R67,1),LEFT(S67,1),LEFT(T67,1),LEFT(U67,1),"-",M67),"G",""),"1","10")</f>
        <v>10A96-6</v>
      </c>
      <c r="AA67">
        <v>3</v>
      </c>
      <c r="AB67">
        <v>6</v>
      </c>
      <c r="AD67">
        <f t="shared" si="4"/>
        <v>9</v>
      </c>
      <c r="AE67">
        <v>73</v>
      </c>
    </row>
    <row r="68" spans="1:31" x14ac:dyDescent="0.35">
      <c r="A68" t="s">
        <v>36</v>
      </c>
      <c r="B68">
        <v>4</v>
      </c>
      <c r="D68" t="s">
        <v>89</v>
      </c>
      <c r="E68">
        <v>8</v>
      </c>
      <c r="F68" t="s">
        <v>57</v>
      </c>
      <c r="G68" t="s">
        <v>58</v>
      </c>
      <c r="H68" t="s">
        <v>28</v>
      </c>
      <c r="I68" t="s">
        <v>73</v>
      </c>
      <c r="J68">
        <v>9</v>
      </c>
      <c r="K68" t="s">
        <v>55</v>
      </c>
      <c r="L68" t="s">
        <v>34</v>
      </c>
      <c r="M68" t="s">
        <v>58</v>
      </c>
      <c r="N68" t="s">
        <v>38</v>
      </c>
      <c r="O68" t="s">
        <v>80</v>
      </c>
      <c r="P68" t="s">
        <v>49</v>
      </c>
      <c r="Q68" t="s">
        <v>69</v>
      </c>
      <c r="R68" t="s">
        <v>35</v>
      </c>
      <c r="S68" t="s">
        <v>77</v>
      </c>
      <c r="T68" t="s">
        <v>35</v>
      </c>
      <c r="U68" t="s">
        <v>35</v>
      </c>
      <c r="V68" t="str">
        <f t="shared" si="5"/>
        <v>CCCH-D</v>
      </c>
      <c r="W68">
        <v>0</v>
      </c>
      <c r="Y68" t="str">
        <f t="shared" si="6"/>
        <v>4352-A</v>
      </c>
      <c r="AA68">
        <v>4</v>
      </c>
      <c r="AB68">
        <v>7</v>
      </c>
      <c r="AC68">
        <v>2</v>
      </c>
      <c r="AD68">
        <f t="shared" si="4"/>
        <v>13</v>
      </c>
      <c r="AE68">
        <v>109</v>
      </c>
    </row>
    <row r="69" spans="1:31" x14ac:dyDescent="0.35">
      <c r="A69" t="s">
        <v>23</v>
      </c>
      <c r="B69">
        <v>4</v>
      </c>
      <c r="D69" t="s">
        <v>89</v>
      </c>
      <c r="E69">
        <v>8</v>
      </c>
      <c r="F69" t="s">
        <v>29</v>
      </c>
      <c r="G69" t="s">
        <v>30</v>
      </c>
      <c r="H69" t="s">
        <v>26</v>
      </c>
      <c r="I69" t="s">
        <v>39</v>
      </c>
      <c r="J69" t="s">
        <v>40</v>
      </c>
      <c r="K69" t="s">
        <v>28</v>
      </c>
      <c r="L69" t="s">
        <v>34</v>
      </c>
      <c r="M69" t="s">
        <v>58</v>
      </c>
      <c r="N69" t="s">
        <v>38</v>
      </c>
      <c r="O69" t="s">
        <v>60</v>
      </c>
      <c r="P69" t="s">
        <v>37</v>
      </c>
      <c r="Q69" t="s">
        <v>63</v>
      </c>
      <c r="R69" t="s">
        <v>35</v>
      </c>
      <c r="S69" t="s">
        <v>31</v>
      </c>
      <c r="T69" t="s">
        <v>35</v>
      </c>
      <c r="U69" t="s">
        <v>35</v>
      </c>
      <c r="V69" t="str">
        <f t="shared" si="5"/>
        <v>SDSD-D</v>
      </c>
      <c r="W69">
        <v>0</v>
      </c>
      <c r="Y69" t="str">
        <f t="shared" si="6"/>
        <v>4963-A</v>
      </c>
      <c r="AA69">
        <v>0</v>
      </c>
      <c r="AB69">
        <v>2</v>
      </c>
      <c r="AD69">
        <f t="shared" si="4"/>
        <v>2</v>
      </c>
      <c r="AE69">
        <v>75</v>
      </c>
    </row>
    <row r="70" spans="1:31" x14ac:dyDescent="0.35">
      <c r="A70" t="s">
        <v>36</v>
      </c>
      <c r="B70">
        <v>4</v>
      </c>
      <c r="D70" t="s">
        <v>89</v>
      </c>
      <c r="E70">
        <v>9</v>
      </c>
      <c r="F70" t="s">
        <v>63</v>
      </c>
      <c r="G70">
        <v>6</v>
      </c>
      <c r="H70" t="s">
        <v>28</v>
      </c>
      <c r="I70" t="s">
        <v>48</v>
      </c>
      <c r="J70">
        <v>1</v>
      </c>
      <c r="K70" t="s">
        <v>26</v>
      </c>
      <c r="L70" t="s">
        <v>74</v>
      </c>
      <c r="M70">
        <v>9</v>
      </c>
      <c r="N70" t="s">
        <v>26</v>
      </c>
      <c r="O70" t="s">
        <v>35</v>
      </c>
      <c r="P70" t="s">
        <v>83</v>
      </c>
      <c r="Q70" t="s">
        <v>33</v>
      </c>
      <c r="R70" t="s">
        <v>35</v>
      </c>
      <c r="S70" t="s">
        <v>32</v>
      </c>
      <c r="T70" t="s">
        <v>85</v>
      </c>
      <c r="U70" t="s">
        <v>35</v>
      </c>
      <c r="V70" t="str">
        <f t="shared" si="5"/>
        <v>CCDC-H</v>
      </c>
      <c r="W70">
        <v>0</v>
      </c>
      <c r="Y70" t="str">
        <f t="shared" si="6"/>
        <v>K2KA-9</v>
      </c>
      <c r="AA70">
        <v>0</v>
      </c>
      <c r="AB70">
        <v>2</v>
      </c>
      <c r="AD70">
        <f t="shared" si="4"/>
        <v>2</v>
      </c>
      <c r="AE70">
        <v>111</v>
      </c>
    </row>
    <row r="71" spans="1:31" x14ac:dyDescent="0.35">
      <c r="A71" t="s">
        <v>23</v>
      </c>
      <c r="B71">
        <v>4</v>
      </c>
      <c r="D71" t="s">
        <v>89</v>
      </c>
      <c r="E71">
        <v>9</v>
      </c>
      <c r="F71" t="s">
        <v>65</v>
      </c>
      <c r="G71" t="s">
        <v>58</v>
      </c>
      <c r="H71" t="s">
        <v>26</v>
      </c>
      <c r="I71" t="s">
        <v>43</v>
      </c>
      <c r="J71">
        <v>2</v>
      </c>
      <c r="K71" t="s">
        <v>28</v>
      </c>
      <c r="L71" t="s">
        <v>74</v>
      </c>
      <c r="M71">
        <v>9</v>
      </c>
      <c r="N71" t="s">
        <v>26</v>
      </c>
      <c r="O71" t="s">
        <v>82</v>
      </c>
      <c r="P71" t="s">
        <v>51</v>
      </c>
      <c r="Q71" t="s">
        <v>44</v>
      </c>
      <c r="R71" t="s">
        <v>35</v>
      </c>
      <c r="S71" t="s">
        <v>66</v>
      </c>
      <c r="T71" t="s">
        <v>35</v>
      </c>
      <c r="U71" t="s">
        <v>35</v>
      </c>
      <c r="V71" t="str">
        <f t="shared" si="5"/>
        <v>CDHD-H</v>
      </c>
      <c r="W71">
        <v>0</v>
      </c>
      <c r="Y71" t="str">
        <f t="shared" si="6"/>
        <v>6675-9</v>
      </c>
      <c r="AA71">
        <v>4</v>
      </c>
      <c r="AB71">
        <v>12</v>
      </c>
      <c r="AC71">
        <v>2</v>
      </c>
      <c r="AD71">
        <f t="shared" si="4"/>
        <v>18</v>
      </c>
      <c r="AE71">
        <v>93</v>
      </c>
    </row>
    <row r="72" spans="1:31" x14ac:dyDescent="0.35">
      <c r="A72" t="s">
        <v>36</v>
      </c>
      <c r="B72">
        <v>4</v>
      </c>
      <c r="D72" t="s">
        <v>89</v>
      </c>
      <c r="E72">
        <v>10</v>
      </c>
      <c r="F72" t="s">
        <v>50</v>
      </c>
      <c r="G72">
        <v>6</v>
      </c>
      <c r="H72" t="s">
        <v>26</v>
      </c>
      <c r="I72" t="s">
        <v>37</v>
      </c>
      <c r="J72">
        <v>9</v>
      </c>
      <c r="K72" t="s">
        <v>38</v>
      </c>
      <c r="L72" t="s">
        <v>46</v>
      </c>
      <c r="M72" t="s">
        <v>47</v>
      </c>
      <c r="N72" t="s">
        <v>26</v>
      </c>
      <c r="O72" t="s">
        <v>77</v>
      </c>
      <c r="P72" t="s">
        <v>69</v>
      </c>
      <c r="Q72" t="s">
        <v>35</v>
      </c>
      <c r="R72" t="s">
        <v>48</v>
      </c>
      <c r="S72" t="s">
        <v>87</v>
      </c>
      <c r="T72" t="s">
        <v>35</v>
      </c>
      <c r="U72" t="s">
        <v>35</v>
      </c>
      <c r="V72" t="str">
        <f t="shared" si="5"/>
        <v>HCHS-H</v>
      </c>
      <c r="W72">
        <v>0</v>
      </c>
      <c r="Y72" t="str">
        <f t="shared" si="6"/>
        <v>251010-K</v>
      </c>
      <c r="AA72">
        <v>3</v>
      </c>
      <c r="AB72">
        <v>8</v>
      </c>
      <c r="AC72">
        <v>2</v>
      </c>
      <c r="AD72">
        <f t="shared" si="4"/>
        <v>13</v>
      </c>
      <c r="AE72">
        <v>122</v>
      </c>
    </row>
    <row r="73" spans="1:31" x14ac:dyDescent="0.35">
      <c r="A73" t="s">
        <v>23</v>
      </c>
      <c r="B73">
        <v>4</v>
      </c>
      <c r="D73" t="s">
        <v>89</v>
      </c>
      <c r="E73">
        <v>10</v>
      </c>
      <c r="F73" t="s">
        <v>41</v>
      </c>
      <c r="G73">
        <v>3</v>
      </c>
      <c r="H73" t="s">
        <v>26</v>
      </c>
      <c r="I73" t="s">
        <v>75</v>
      </c>
      <c r="J73">
        <v>8</v>
      </c>
      <c r="K73" t="s">
        <v>28</v>
      </c>
      <c r="L73" t="s">
        <v>46</v>
      </c>
      <c r="M73" t="s">
        <v>47</v>
      </c>
      <c r="N73" t="s">
        <v>26</v>
      </c>
      <c r="O73" t="s">
        <v>35</v>
      </c>
      <c r="P73" t="s">
        <v>66</v>
      </c>
      <c r="Q73" t="s">
        <v>62</v>
      </c>
      <c r="R73" t="s">
        <v>35</v>
      </c>
      <c r="S73" t="s">
        <v>29</v>
      </c>
      <c r="T73" t="s">
        <v>35</v>
      </c>
      <c r="U73" t="s">
        <v>53</v>
      </c>
      <c r="V73" t="str">
        <f t="shared" si="5"/>
        <v>DSHH-H</v>
      </c>
      <c r="W73">
        <v>0</v>
      </c>
      <c r="Y73" t="str">
        <f t="shared" si="6"/>
        <v>5KJQ-K</v>
      </c>
      <c r="AA73">
        <v>2</v>
      </c>
      <c r="AB73">
        <v>16</v>
      </c>
      <c r="AD73">
        <f t="shared" si="4"/>
        <v>18</v>
      </c>
      <c r="AE73">
        <v>111</v>
      </c>
    </row>
    <row r="74" spans="1:31" x14ac:dyDescent="0.35">
      <c r="A74" t="s">
        <v>90</v>
      </c>
      <c r="B74">
        <v>5</v>
      </c>
      <c r="D74" t="s">
        <v>91</v>
      </c>
      <c r="E74">
        <v>1</v>
      </c>
      <c r="F74" t="s">
        <v>43</v>
      </c>
      <c r="G74">
        <v>2</v>
      </c>
      <c r="H74" t="s">
        <v>28</v>
      </c>
      <c r="I74" t="s">
        <v>42</v>
      </c>
      <c r="J74">
        <v>4</v>
      </c>
      <c r="K74" t="s">
        <v>26</v>
      </c>
      <c r="L74" t="s">
        <v>63</v>
      </c>
      <c r="M74">
        <v>6</v>
      </c>
      <c r="N74" t="s">
        <v>28</v>
      </c>
      <c r="O74" t="s">
        <v>75</v>
      </c>
      <c r="P74" t="s">
        <v>86</v>
      </c>
      <c r="Q74" t="s">
        <v>35</v>
      </c>
      <c r="R74" t="s">
        <v>64</v>
      </c>
      <c r="S74" t="s">
        <v>78</v>
      </c>
      <c r="T74" t="s">
        <v>35</v>
      </c>
      <c r="U74" t="s">
        <v>35</v>
      </c>
      <c r="V74" t="str">
        <f t="shared" si="5"/>
        <v>SSCD-S</v>
      </c>
      <c r="W74">
        <v>0</v>
      </c>
      <c r="Y74" t="str">
        <f t="shared" si="6"/>
        <v>8J7Q-6</v>
      </c>
      <c r="AA74">
        <v>5</v>
      </c>
      <c r="AB74">
        <v>5</v>
      </c>
      <c r="AC74">
        <v>9</v>
      </c>
      <c r="AD74">
        <f t="shared" si="4"/>
        <v>19</v>
      </c>
      <c r="AE74">
        <v>19</v>
      </c>
    </row>
    <row r="75" spans="1:31" x14ac:dyDescent="0.35">
      <c r="A75" t="s">
        <v>23</v>
      </c>
      <c r="B75">
        <v>5</v>
      </c>
      <c r="D75" t="s">
        <v>91</v>
      </c>
      <c r="E75">
        <v>1</v>
      </c>
      <c r="F75" t="s">
        <v>31</v>
      </c>
      <c r="G75">
        <v>3</v>
      </c>
      <c r="H75" t="s">
        <v>38</v>
      </c>
      <c r="I75" t="s">
        <v>82</v>
      </c>
      <c r="J75">
        <v>6</v>
      </c>
      <c r="K75" t="s">
        <v>55</v>
      </c>
      <c r="L75" t="s">
        <v>63</v>
      </c>
      <c r="M75">
        <v>6</v>
      </c>
      <c r="N75" t="s">
        <v>28</v>
      </c>
      <c r="O75" t="s">
        <v>81</v>
      </c>
      <c r="P75" t="s">
        <v>35</v>
      </c>
      <c r="Q75" t="s">
        <v>80</v>
      </c>
      <c r="R75" t="s">
        <v>62</v>
      </c>
      <c r="S75" t="s">
        <v>52</v>
      </c>
      <c r="T75" t="s">
        <v>35</v>
      </c>
      <c r="U75" t="s">
        <v>35</v>
      </c>
      <c r="V75" t="str">
        <f t="shared" si="5"/>
        <v>CCSD-S</v>
      </c>
      <c r="W75">
        <v>0</v>
      </c>
      <c r="Y75" t="str">
        <f t="shared" si="6"/>
        <v>J4KJ-6</v>
      </c>
      <c r="AA75">
        <v>1</v>
      </c>
      <c r="AB75">
        <v>2</v>
      </c>
      <c r="AC75">
        <v>0</v>
      </c>
      <c r="AD75">
        <f t="shared" si="4"/>
        <v>3</v>
      </c>
      <c r="AE75">
        <v>3</v>
      </c>
    </row>
    <row r="76" spans="1:31" x14ac:dyDescent="0.35">
      <c r="A76" t="s">
        <v>90</v>
      </c>
      <c r="B76">
        <v>5</v>
      </c>
      <c r="D76" t="s">
        <v>91</v>
      </c>
      <c r="E76">
        <v>2</v>
      </c>
      <c r="F76" t="s">
        <v>83</v>
      </c>
      <c r="G76" t="s">
        <v>47</v>
      </c>
      <c r="H76" t="s">
        <v>55</v>
      </c>
      <c r="I76" t="s">
        <v>43</v>
      </c>
      <c r="J76">
        <v>2</v>
      </c>
      <c r="K76" t="s">
        <v>28</v>
      </c>
      <c r="L76" t="s">
        <v>84</v>
      </c>
      <c r="M76">
        <v>1</v>
      </c>
      <c r="N76" t="s">
        <v>55</v>
      </c>
      <c r="O76" t="s">
        <v>75</v>
      </c>
      <c r="P76" t="s">
        <v>66</v>
      </c>
      <c r="Q76" t="s">
        <v>35</v>
      </c>
      <c r="R76" t="s">
        <v>64</v>
      </c>
      <c r="S76" t="s">
        <v>63</v>
      </c>
      <c r="T76" t="s">
        <v>35</v>
      </c>
      <c r="U76" t="s">
        <v>35</v>
      </c>
      <c r="V76" t="str">
        <f t="shared" si="5"/>
        <v>SDCS-C</v>
      </c>
      <c r="W76">
        <v>0</v>
      </c>
      <c r="Y76" t="str">
        <f t="shared" si="6"/>
        <v>8576-10</v>
      </c>
      <c r="AA76">
        <v>7</v>
      </c>
      <c r="AB76">
        <v>8</v>
      </c>
      <c r="AD76">
        <f t="shared" si="4"/>
        <v>15</v>
      </c>
      <c r="AE76">
        <v>34</v>
      </c>
    </row>
    <row r="77" spans="1:31" x14ac:dyDescent="0.35">
      <c r="A77" t="s">
        <v>23</v>
      </c>
      <c r="B77">
        <v>5</v>
      </c>
      <c r="D77" t="s">
        <v>91</v>
      </c>
      <c r="E77">
        <v>2</v>
      </c>
      <c r="F77" t="s">
        <v>44</v>
      </c>
      <c r="G77">
        <v>7</v>
      </c>
      <c r="H77" t="s">
        <v>26</v>
      </c>
      <c r="I77" t="s">
        <v>85</v>
      </c>
      <c r="J77" t="s">
        <v>58</v>
      </c>
      <c r="K77" t="s">
        <v>55</v>
      </c>
      <c r="L77" t="s">
        <v>84</v>
      </c>
      <c r="M77">
        <v>1</v>
      </c>
      <c r="N77" t="s">
        <v>55</v>
      </c>
      <c r="O77" t="s">
        <v>79</v>
      </c>
      <c r="P77" t="s">
        <v>51</v>
      </c>
      <c r="Q77" t="s">
        <v>69</v>
      </c>
      <c r="R77" t="s">
        <v>35</v>
      </c>
      <c r="S77" t="s">
        <v>27</v>
      </c>
      <c r="T77" t="s">
        <v>35</v>
      </c>
      <c r="U77" t="s">
        <v>35</v>
      </c>
      <c r="V77" t="str">
        <f t="shared" si="5"/>
        <v>DDCS-C</v>
      </c>
      <c r="W77">
        <v>0</v>
      </c>
      <c r="Y77" t="str">
        <f t="shared" si="6"/>
        <v>7657-10</v>
      </c>
      <c r="AA77">
        <v>9</v>
      </c>
      <c r="AB77">
        <v>8</v>
      </c>
      <c r="AD77">
        <f t="shared" si="4"/>
        <v>17</v>
      </c>
      <c r="AE77">
        <v>20</v>
      </c>
    </row>
    <row r="78" spans="1:31" x14ac:dyDescent="0.35">
      <c r="A78" t="s">
        <v>90</v>
      </c>
      <c r="B78">
        <v>5</v>
      </c>
      <c r="D78" t="s">
        <v>91</v>
      </c>
      <c r="E78">
        <v>3</v>
      </c>
      <c r="F78" t="s">
        <v>45</v>
      </c>
      <c r="G78">
        <v>8</v>
      </c>
      <c r="H78" t="s">
        <v>26</v>
      </c>
      <c r="I78" t="s">
        <v>73</v>
      </c>
      <c r="J78">
        <v>9</v>
      </c>
      <c r="K78" t="s">
        <v>55</v>
      </c>
      <c r="L78" t="s">
        <v>53</v>
      </c>
      <c r="M78" t="s">
        <v>40</v>
      </c>
      <c r="N78" t="s">
        <v>26</v>
      </c>
      <c r="O78" t="s">
        <v>42</v>
      </c>
      <c r="P78" t="s">
        <v>60</v>
      </c>
      <c r="Q78" t="s">
        <v>85</v>
      </c>
      <c r="R78" t="s">
        <v>35</v>
      </c>
      <c r="S78" t="s">
        <v>71</v>
      </c>
      <c r="T78" t="s">
        <v>35</v>
      </c>
      <c r="U78" t="s">
        <v>35</v>
      </c>
      <c r="V78" t="str">
        <f t="shared" si="5"/>
        <v>HSCC-H</v>
      </c>
      <c r="W78">
        <v>0</v>
      </c>
      <c r="Y78" t="str">
        <f t="shared" si="6"/>
        <v>44AQ-Q</v>
      </c>
      <c r="AA78">
        <v>7</v>
      </c>
      <c r="AB78">
        <v>12</v>
      </c>
      <c r="AD78">
        <f t="shared" si="4"/>
        <v>19</v>
      </c>
      <c r="AE78">
        <v>53</v>
      </c>
    </row>
    <row r="79" spans="1:31" x14ac:dyDescent="0.35">
      <c r="A79" t="s">
        <v>23</v>
      </c>
      <c r="B79">
        <v>5</v>
      </c>
      <c r="D79" t="s">
        <v>91</v>
      </c>
      <c r="E79">
        <v>3</v>
      </c>
      <c r="F79" t="s">
        <v>31</v>
      </c>
      <c r="G79">
        <v>3</v>
      </c>
      <c r="H79" t="s">
        <v>38</v>
      </c>
      <c r="I79" t="s">
        <v>46</v>
      </c>
      <c r="J79" t="s">
        <v>47</v>
      </c>
      <c r="K79" t="s">
        <v>26</v>
      </c>
      <c r="L79" t="s">
        <v>53</v>
      </c>
      <c r="M79" t="s">
        <v>40</v>
      </c>
      <c r="N79" t="s">
        <v>26</v>
      </c>
      <c r="O79" t="s">
        <v>59</v>
      </c>
      <c r="P79" t="s">
        <v>39</v>
      </c>
      <c r="Q79" t="s">
        <v>35</v>
      </c>
      <c r="R79" t="s">
        <v>35</v>
      </c>
      <c r="S79" t="s">
        <v>81</v>
      </c>
      <c r="T79" t="s">
        <v>87</v>
      </c>
      <c r="U79" t="s">
        <v>35</v>
      </c>
      <c r="V79" t="str">
        <f t="shared" si="5"/>
        <v>DSCS-H</v>
      </c>
      <c r="W79">
        <v>0</v>
      </c>
      <c r="Y79" t="str">
        <f t="shared" si="6"/>
        <v>4QJ10-Q</v>
      </c>
      <c r="AA79">
        <v>6</v>
      </c>
      <c r="AB79">
        <v>6</v>
      </c>
      <c r="AD79">
        <f t="shared" si="4"/>
        <v>12</v>
      </c>
      <c r="AE79">
        <v>32</v>
      </c>
    </row>
    <row r="80" spans="1:31" x14ac:dyDescent="0.35">
      <c r="A80" t="s">
        <v>90</v>
      </c>
      <c r="B80">
        <v>5</v>
      </c>
      <c r="D80" t="s">
        <v>91</v>
      </c>
      <c r="E80">
        <v>4</v>
      </c>
      <c r="F80" t="s">
        <v>83</v>
      </c>
      <c r="G80" t="s">
        <v>47</v>
      </c>
      <c r="H80" t="s">
        <v>55</v>
      </c>
      <c r="I80" t="s">
        <v>50</v>
      </c>
      <c r="J80">
        <v>6</v>
      </c>
      <c r="K80" t="s">
        <v>26</v>
      </c>
      <c r="L80" t="s">
        <v>63</v>
      </c>
      <c r="M80">
        <v>6</v>
      </c>
      <c r="N80" t="s">
        <v>28</v>
      </c>
      <c r="O80" t="s">
        <v>57</v>
      </c>
      <c r="P80" t="s">
        <v>74</v>
      </c>
      <c r="Q80" t="s">
        <v>66</v>
      </c>
      <c r="R80" t="s">
        <v>35</v>
      </c>
      <c r="S80" t="s">
        <v>70</v>
      </c>
      <c r="T80" t="s">
        <v>35</v>
      </c>
      <c r="U80" t="s">
        <v>35</v>
      </c>
      <c r="V80" t="str">
        <f t="shared" si="5"/>
        <v>SHDS-S</v>
      </c>
      <c r="W80">
        <v>0</v>
      </c>
      <c r="Y80" t="str">
        <f t="shared" si="6"/>
        <v>A955-6</v>
      </c>
      <c r="AA80">
        <v>3</v>
      </c>
      <c r="AB80">
        <v>8</v>
      </c>
      <c r="AD80">
        <f t="shared" si="4"/>
        <v>11</v>
      </c>
      <c r="AE80">
        <v>64</v>
      </c>
    </row>
    <row r="81" spans="1:31" x14ac:dyDescent="0.35">
      <c r="A81" t="s">
        <v>23</v>
      </c>
      <c r="B81">
        <v>5</v>
      </c>
      <c r="D81" t="s">
        <v>91</v>
      </c>
      <c r="E81">
        <v>4</v>
      </c>
      <c r="F81" t="s">
        <v>48</v>
      </c>
      <c r="G81">
        <v>1</v>
      </c>
      <c r="H81" t="s">
        <v>26</v>
      </c>
      <c r="I81" t="s">
        <v>73</v>
      </c>
      <c r="J81">
        <v>9</v>
      </c>
      <c r="K81" t="s">
        <v>55</v>
      </c>
      <c r="L81" t="s">
        <v>63</v>
      </c>
      <c r="M81">
        <v>6</v>
      </c>
      <c r="N81" t="s">
        <v>28</v>
      </c>
      <c r="O81" t="s">
        <v>77</v>
      </c>
      <c r="P81" t="s">
        <v>31</v>
      </c>
      <c r="Q81" t="s">
        <v>46</v>
      </c>
      <c r="R81" t="s">
        <v>35</v>
      </c>
      <c r="S81" t="s">
        <v>67</v>
      </c>
      <c r="T81" t="s">
        <v>35</v>
      </c>
      <c r="U81" t="s">
        <v>35</v>
      </c>
      <c r="V81" t="str">
        <f t="shared" si="5"/>
        <v>HDHD-S</v>
      </c>
      <c r="W81">
        <v>0</v>
      </c>
      <c r="Y81" t="str">
        <f t="shared" si="6"/>
        <v>23K2-6</v>
      </c>
      <c r="AA81">
        <v>4</v>
      </c>
      <c r="AB81">
        <v>6</v>
      </c>
      <c r="AC81">
        <v>6</v>
      </c>
      <c r="AD81">
        <f t="shared" si="4"/>
        <v>16</v>
      </c>
      <c r="AE81">
        <v>48</v>
      </c>
    </row>
    <row r="82" spans="1:31" x14ac:dyDescent="0.35">
      <c r="A82" t="s">
        <v>90</v>
      </c>
      <c r="B82">
        <v>5</v>
      </c>
      <c r="D82" t="s">
        <v>91</v>
      </c>
      <c r="E82">
        <v>5</v>
      </c>
      <c r="F82" t="s">
        <v>49</v>
      </c>
      <c r="G82">
        <v>3</v>
      </c>
      <c r="H82" t="s">
        <v>55</v>
      </c>
      <c r="I82" t="s">
        <v>34</v>
      </c>
      <c r="J82" t="s">
        <v>58</v>
      </c>
      <c r="K82" t="s">
        <v>38</v>
      </c>
      <c r="L82" t="s">
        <v>67</v>
      </c>
      <c r="M82">
        <v>2</v>
      </c>
      <c r="N82" t="s">
        <v>38</v>
      </c>
      <c r="O82" t="s">
        <v>45</v>
      </c>
      <c r="P82" t="s">
        <v>27</v>
      </c>
      <c r="Q82" t="s">
        <v>35</v>
      </c>
      <c r="R82" t="s">
        <v>35</v>
      </c>
      <c r="S82" t="s">
        <v>79</v>
      </c>
      <c r="T82" t="s">
        <v>50</v>
      </c>
      <c r="U82" t="s">
        <v>35</v>
      </c>
      <c r="V82" t="str">
        <f t="shared" si="5"/>
        <v>HSDH-D</v>
      </c>
      <c r="W82">
        <v>0</v>
      </c>
      <c r="Y82" t="str">
        <f t="shared" si="6"/>
        <v>8776-2</v>
      </c>
      <c r="AA82">
        <v>4</v>
      </c>
      <c r="AB82">
        <v>14</v>
      </c>
      <c r="AC82">
        <v>2</v>
      </c>
      <c r="AD82">
        <f t="shared" si="4"/>
        <v>20</v>
      </c>
      <c r="AE82">
        <v>84</v>
      </c>
    </row>
    <row r="83" spans="1:31" x14ac:dyDescent="0.35">
      <c r="A83" t="s">
        <v>23</v>
      </c>
      <c r="B83">
        <v>5</v>
      </c>
      <c r="D83" t="s">
        <v>91</v>
      </c>
      <c r="E83">
        <v>5</v>
      </c>
      <c r="F83" t="s">
        <v>78</v>
      </c>
      <c r="G83" t="s">
        <v>40</v>
      </c>
      <c r="H83" t="s">
        <v>38</v>
      </c>
      <c r="I83" t="s">
        <v>54</v>
      </c>
      <c r="J83">
        <v>8</v>
      </c>
      <c r="K83" t="s">
        <v>55</v>
      </c>
      <c r="L83" t="s">
        <v>67</v>
      </c>
      <c r="M83">
        <v>2</v>
      </c>
      <c r="N83" t="s">
        <v>38</v>
      </c>
      <c r="O83" t="s">
        <v>68</v>
      </c>
      <c r="P83" t="s">
        <v>59</v>
      </c>
      <c r="Q83" t="s">
        <v>43</v>
      </c>
      <c r="R83" t="s">
        <v>35</v>
      </c>
      <c r="S83" t="s">
        <v>87</v>
      </c>
      <c r="T83" t="s">
        <v>35</v>
      </c>
      <c r="U83" t="s">
        <v>35</v>
      </c>
      <c r="V83" t="str">
        <f t="shared" si="5"/>
        <v>SDSS-D</v>
      </c>
      <c r="W83">
        <v>0</v>
      </c>
      <c r="Y83" t="str">
        <f t="shared" si="6"/>
        <v>94210-2</v>
      </c>
      <c r="AA83">
        <v>1</v>
      </c>
      <c r="AB83">
        <v>6</v>
      </c>
      <c r="AD83">
        <f t="shared" si="4"/>
        <v>7</v>
      </c>
      <c r="AE83">
        <v>55</v>
      </c>
    </row>
    <row r="84" spans="1:31" x14ac:dyDescent="0.35">
      <c r="A84" t="s">
        <v>90</v>
      </c>
      <c r="B84">
        <v>5</v>
      </c>
      <c r="D84" t="s">
        <v>91</v>
      </c>
      <c r="E84">
        <v>6</v>
      </c>
      <c r="F84" t="s">
        <v>71</v>
      </c>
      <c r="G84" t="s">
        <v>40</v>
      </c>
      <c r="H84" t="s">
        <v>55</v>
      </c>
      <c r="I84" t="s">
        <v>39</v>
      </c>
      <c r="J84" t="s">
        <v>40</v>
      </c>
      <c r="K84" t="s">
        <v>28</v>
      </c>
      <c r="L84" t="s">
        <v>85</v>
      </c>
      <c r="M84" t="s">
        <v>58</v>
      </c>
      <c r="N84" t="s">
        <v>55</v>
      </c>
      <c r="O84" t="s">
        <v>27</v>
      </c>
      <c r="P84" t="s">
        <v>41</v>
      </c>
      <c r="Q84" t="s">
        <v>35</v>
      </c>
      <c r="R84" t="s">
        <v>73</v>
      </c>
      <c r="S84" t="s">
        <v>49</v>
      </c>
      <c r="T84" t="s">
        <v>35</v>
      </c>
      <c r="U84" t="s">
        <v>35</v>
      </c>
      <c r="V84" t="str">
        <f t="shared" si="5"/>
        <v>SHCC-C</v>
      </c>
      <c r="W84">
        <v>0</v>
      </c>
      <c r="Y84" t="str">
        <f t="shared" si="6"/>
        <v>7393-A</v>
      </c>
      <c r="AA84">
        <v>1</v>
      </c>
      <c r="AB84">
        <v>2</v>
      </c>
      <c r="AD84">
        <f t="shared" si="4"/>
        <v>3</v>
      </c>
      <c r="AE84">
        <v>87</v>
      </c>
    </row>
    <row r="85" spans="1:31" x14ac:dyDescent="0.35">
      <c r="A85" t="s">
        <v>23</v>
      </c>
      <c r="B85">
        <v>5</v>
      </c>
      <c r="D85" t="s">
        <v>91</v>
      </c>
      <c r="E85">
        <v>6</v>
      </c>
      <c r="F85" t="s">
        <v>33</v>
      </c>
      <c r="G85">
        <v>2</v>
      </c>
      <c r="H85" t="s">
        <v>55</v>
      </c>
      <c r="I85" t="s">
        <v>79</v>
      </c>
      <c r="J85">
        <v>7</v>
      </c>
      <c r="K85" t="s">
        <v>38</v>
      </c>
      <c r="L85" t="s">
        <v>85</v>
      </c>
      <c r="M85" t="s">
        <v>58</v>
      </c>
      <c r="N85" t="s">
        <v>55</v>
      </c>
      <c r="O85" t="s">
        <v>83</v>
      </c>
      <c r="P85" t="s">
        <v>78</v>
      </c>
      <c r="Q85" t="s">
        <v>65</v>
      </c>
      <c r="R85" t="s">
        <v>35</v>
      </c>
      <c r="S85" t="s">
        <v>52</v>
      </c>
      <c r="T85" t="s">
        <v>35</v>
      </c>
      <c r="U85" t="s">
        <v>35</v>
      </c>
      <c r="V85" t="str">
        <f t="shared" si="5"/>
        <v>CDHD-C</v>
      </c>
      <c r="W85">
        <v>0</v>
      </c>
      <c r="Y85" t="str">
        <f t="shared" si="6"/>
        <v>KQAJ-A</v>
      </c>
      <c r="AA85">
        <v>1</v>
      </c>
      <c r="AB85">
        <v>8</v>
      </c>
      <c r="AC85">
        <v>2</v>
      </c>
      <c r="AD85">
        <f t="shared" si="4"/>
        <v>11</v>
      </c>
      <c r="AE85">
        <v>66</v>
      </c>
    </row>
    <row r="86" spans="1:31" x14ac:dyDescent="0.35">
      <c r="A86" t="s">
        <v>90</v>
      </c>
      <c r="B86">
        <v>5</v>
      </c>
      <c r="D86" t="s">
        <v>91</v>
      </c>
      <c r="E86">
        <v>7</v>
      </c>
      <c r="F86" t="s">
        <v>82</v>
      </c>
      <c r="G86">
        <v>6</v>
      </c>
      <c r="H86" t="s">
        <v>55</v>
      </c>
      <c r="I86" t="s">
        <v>77</v>
      </c>
      <c r="J86">
        <v>2</v>
      </c>
      <c r="K86" t="s">
        <v>26</v>
      </c>
      <c r="L86" t="s">
        <v>49</v>
      </c>
      <c r="M86">
        <v>3</v>
      </c>
      <c r="N86" t="s">
        <v>55</v>
      </c>
      <c r="O86" t="s">
        <v>52</v>
      </c>
      <c r="P86" t="s">
        <v>87</v>
      </c>
      <c r="Q86" t="s">
        <v>34</v>
      </c>
      <c r="R86" t="s">
        <v>35</v>
      </c>
      <c r="S86" t="s">
        <v>46</v>
      </c>
      <c r="T86" t="s">
        <v>35</v>
      </c>
      <c r="U86" t="s">
        <v>35</v>
      </c>
      <c r="V86" t="str">
        <f t="shared" si="5"/>
        <v>DSDH-C</v>
      </c>
      <c r="W86">
        <v>0</v>
      </c>
      <c r="Y86" t="str">
        <f t="shared" si="6"/>
        <v>J10AK-3</v>
      </c>
      <c r="AA86">
        <v>1</v>
      </c>
      <c r="AC86">
        <v>7</v>
      </c>
      <c r="AD86">
        <f t="shared" ref="AD86:AD130" si="7">AA86+AB86+AC86</f>
        <v>8</v>
      </c>
      <c r="AE86">
        <v>95</v>
      </c>
    </row>
    <row r="87" spans="1:31" x14ac:dyDescent="0.35">
      <c r="A87" t="s">
        <v>23</v>
      </c>
      <c r="B87">
        <v>5</v>
      </c>
      <c r="D87" t="s">
        <v>91</v>
      </c>
      <c r="E87">
        <v>7</v>
      </c>
      <c r="F87" t="s">
        <v>48</v>
      </c>
      <c r="G87">
        <v>1</v>
      </c>
      <c r="H87" t="s">
        <v>26</v>
      </c>
      <c r="I87" t="s">
        <v>59</v>
      </c>
      <c r="J87">
        <v>4</v>
      </c>
      <c r="K87" t="s">
        <v>38</v>
      </c>
      <c r="L87" t="s">
        <v>49</v>
      </c>
      <c r="M87">
        <v>3</v>
      </c>
      <c r="N87" t="s">
        <v>55</v>
      </c>
      <c r="O87" t="s">
        <v>25</v>
      </c>
      <c r="P87" t="s">
        <v>35</v>
      </c>
      <c r="Q87" t="s">
        <v>35</v>
      </c>
      <c r="R87" t="s">
        <v>56</v>
      </c>
      <c r="S87" t="s">
        <v>75</v>
      </c>
      <c r="T87" t="s">
        <v>35</v>
      </c>
      <c r="U87" t="s">
        <v>86</v>
      </c>
      <c r="V87" t="str">
        <f t="shared" si="5"/>
        <v>HDSS-C</v>
      </c>
      <c r="W87">
        <v>0</v>
      </c>
      <c r="Y87" t="str">
        <f t="shared" si="6"/>
        <v>588J-3</v>
      </c>
      <c r="AA87">
        <v>4</v>
      </c>
      <c r="AB87">
        <v>4</v>
      </c>
      <c r="AD87">
        <f t="shared" si="7"/>
        <v>8</v>
      </c>
      <c r="AE87">
        <v>74</v>
      </c>
    </row>
    <row r="88" spans="1:31" x14ac:dyDescent="0.35">
      <c r="A88" t="s">
        <v>90</v>
      </c>
      <c r="B88">
        <v>5</v>
      </c>
      <c r="D88" t="s">
        <v>91</v>
      </c>
      <c r="E88">
        <v>8</v>
      </c>
      <c r="F88" t="s">
        <v>86</v>
      </c>
      <c r="G88" t="s">
        <v>30</v>
      </c>
      <c r="H88" t="s">
        <v>28</v>
      </c>
      <c r="I88" t="s">
        <v>48</v>
      </c>
      <c r="J88">
        <v>1</v>
      </c>
      <c r="K88" t="s">
        <v>26</v>
      </c>
      <c r="L88" t="s">
        <v>63</v>
      </c>
      <c r="M88">
        <v>6</v>
      </c>
      <c r="N88" t="s">
        <v>28</v>
      </c>
      <c r="O88" t="s">
        <v>60</v>
      </c>
      <c r="P88" t="s">
        <v>41</v>
      </c>
      <c r="Q88" t="s">
        <v>35</v>
      </c>
      <c r="R88" t="s">
        <v>35</v>
      </c>
      <c r="S88" t="s">
        <v>64</v>
      </c>
      <c r="T88" t="s">
        <v>79</v>
      </c>
      <c r="U88" t="s">
        <v>35</v>
      </c>
      <c r="V88" t="str">
        <f t="shared" si="5"/>
        <v>SHCD-S</v>
      </c>
      <c r="W88">
        <v>0</v>
      </c>
      <c r="Y88" t="str">
        <f t="shared" si="6"/>
        <v>4377-6</v>
      </c>
      <c r="AA88">
        <v>7</v>
      </c>
      <c r="AB88">
        <v>2</v>
      </c>
      <c r="AC88">
        <v>0</v>
      </c>
      <c r="AD88">
        <f t="shared" si="7"/>
        <v>9</v>
      </c>
      <c r="AE88">
        <v>104</v>
      </c>
    </row>
    <row r="89" spans="1:31" x14ac:dyDescent="0.35">
      <c r="A89" t="s">
        <v>23</v>
      </c>
      <c r="B89">
        <v>5</v>
      </c>
      <c r="D89" t="s">
        <v>91</v>
      </c>
      <c r="E89">
        <v>8</v>
      </c>
      <c r="F89" t="s">
        <v>39</v>
      </c>
      <c r="G89" t="s">
        <v>40</v>
      </c>
      <c r="H89" t="s">
        <v>28</v>
      </c>
      <c r="I89" t="s">
        <v>71</v>
      </c>
      <c r="J89" t="s">
        <v>40</v>
      </c>
      <c r="K89" t="s">
        <v>55</v>
      </c>
      <c r="L89" t="s">
        <v>63</v>
      </c>
      <c r="M89">
        <v>6</v>
      </c>
      <c r="N89" t="s">
        <v>28</v>
      </c>
      <c r="O89" t="s">
        <v>59</v>
      </c>
      <c r="P89" t="s">
        <v>80</v>
      </c>
      <c r="Q89" t="s">
        <v>84</v>
      </c>
      <c r="R89" t="s">
        <v>65</v>
      </c>
      <c r="S89" t="s">
        <v>35</v>
      </c>
      <c r="T89" t="s">
        <v>35</v>
      </c>
      <c r="U89" t="s">
        <v>35</v>
      </c>
      <c r="V89" t="str">
        <f t="shared" si="5"/>
        <v>DCCH-S</v>
      </c>
      <c r="W89">
        <v>0</v>
      </c>
      <c r="Y89" t="str">
        <f t="shared" si="6"/>
        <v>4410A-6</v>
      </c>
      <c r="AA89">
        <v>7</v>
      </c>
      <c r="AB89">
        <v>6</v>
      </c>
      <c r="AC89">
        <v>8</v>
      </c>
      <c r="AD89">
        <f t="shared" si="7"/>
        <v>21</v>
      </c>
      <c r="AE89">
        <v>95</v>
      </c>
    </row>
    <row r="90" spans="1:31" x14ac:dyDescent="0.35">
      <c r="A90" t="s">
        <v>90</v>
      </c>
      <c r="B90">
        <v>5</v>
      </c>
      <c r="D90" t="s">
        <v>91</v>
      </c>
      <c r="E90">
        <v>9</v>
      </c>
      <c r="F90" t="s">
        <v>43</v>
      </c>
      <c r="G90">
        <v>2</v>
      </c>
      <c r="H90" t="s">
        <v>28</v>
      </c>
      <c r="I90" t="s">
        <v>33</v>
      </c>
      <c r="J90">
        <v>2</v>
      </c>
      <c r="K90" t="s">
        <v>55</v>
      </c>
      <c r="L90" t="s">
        <v>32</v>
      </c>
      <c r="M90" t="s">
        <v>47</v>
      </c>
      <c r="N90" t="s">
        <v>38</v>
      </c>
      <c r="O90" t="s">
        <v>83</v>
      </c>
      <c r="P90" t="s">
        <v>37</v>
      </c>
      <c r="Q90" t="s">
        <v>57</v>
      </c>
      <c r="R90" t="s">
        <v>35</v>
      </c>
      <c r="S90" t="s">
        <v>66</v>
      </c>
      <c r="T90" t="s">
        <v>35</v>
      </c>
      <c r="U90" t="s">
        <v>35</v>
      </c>
      <c r="V90" t="str">
        <f t="shared" si="5"/>
        <v>CDSD-D</v>
      </c>
      <c r="W90">
        <v>0</v>
      </c>
      <c r="Y90" t="str">
        <f t="shared" si="6"/>
        <v>K9A5-K</v>
      </c>
      <c r="AA90">
        <v>3</v>
      </c>
      <c r="AB90">
        <v>8</v>
      </c>
      <c r="AC90">
        <v>4</v>
      </c>
      <c r="AD90">
        <f t="shared" si="7"/>
        <v>15</v>
      </c>
      <c r="AE90">
        <v>119</v>
      </c>
    </row>
    <row r="91" spans="1:31" x14ac:dyDescent="0.35">
      <c r="A91" t="s">
        <v>23</v>
      </c>
      <c r="B91">
        <v>5</v>
      </c>
      <c r="D91" t="s">
        <v>91</v>
      </c>
      <c r="E91">
        <v>9</v>
      </c>
      <c r="F91" t="s">
        <v>79</v>
      </c>
      <c r="G91">
        <v>7</v>
      </c>
      <c r="H91" t="s">
        <v>38</v>
      </c>
      <c r="I91" t="s">
        <v>34</v>
      </c>
      <c r="J91" t="s">
        <v>58</v>
      </c>
      <c r="K91" t="s">
        <v>38</v>
      </c>
      <c r="L91" t="s">
        <v>32</v>
      </c>
      <c r="M91" t="s">
        <v>47</v>
      </c>
      <c r="N91" t="s">
        <v>38</v>
      </c>
      <c r="O91" t="s">
        <v>48</v>
      </c>
      <c r="P91" t="s">
        <v>35</v>
      </c>
      <c r="Q91" t="s">
        <v>35</v>
      </c>
      <c r="R91" t="s">
        <v>87</v>
      </c>
      <c r="S91" t="s">
        <v>70</v>
      </c>
      <c r="T91" t="s">
        <v>86</v>
      </c>
      <c r="U91" t="s">
        <v>35</v>
      </c>
      <c r="V91" t="str">
        <f t="shared" si="5"/>
        <v>HSSS-D</v>
      </c>
      <c r="W91">
        <v>0</v>
      </c>
      <c r="Y91" t="str">
        <f t="shared" si="6"/>
        <v>10105J-K</v>
      </c>
      <c r="AA91">
        <v>3</v>
      </c>
      <c r="AB91">
        <v>10</v>
      </c>
      <c r="AD91">
        <f t="shared" si="7"/>
        <v>13</v>
      </c>
      <c r="AE91">
        <v>108</v>
      </c>
    </row>
    <row r="92" spans="1:31" x14ac:dyDescent="0.35">
      <c r="A92" t="s">
        <v>90</v>
      </c>
      <c r="B92">
        <v>5</v>
      </c>
      <c r="D92" t="s">
        <v>91</v>
      </c>
      <c r="E92">
        <v>10</v>
      </c>
      <c r="F92" t="s">
        <v>57</v>
      </c>
      <c r="G92" t="s">
        <v>58</v>
      </c>
      <c r="H92" t="s">
        <v>28</v>
      </c>
      <c r="I92" t="s">
        <v>67</v>
      </c>
      <c r="J92">
        <v>2</v>
      </c>
      <c r="K92" t="s">
        <v>38</v>
      </c>
      <c r="L92" t="s">
        <v>70</v>
      </c>
      <c r="M92">
        <v>5</v>
      </c>
      <c r="N92" t="s">
        <v>28</v>
      </c>
      <c r="O92" t="s">
        <v>81</v>
      </c>
      <c r="P92" t="s">
        <v>64</v>
      </c>
      <c r="Q92" t="s">
        <v>35</v>
      </c>
      <c r="R92" t="s">
        <v>56</v>
      </c>
      <c r="S92" t="s">
        <v>66</v>
      </c>
      <c r="T92" t="s">
        <v>35</v>
      </c>
      <c r="U92" t="s">
        <v>35</v>
      </c>
      <c r="V92" t="str">
        <f t="shared" si="5"/>
        <v>CCDD-S</v>
      </c>
      <c r="W92">
        <v>0</v>
      </c>
      <c r="Y92" t="str">
        <f t="shared" si="6"/>
        <v>J785-5</v>
      </c>
      <c r="AA92">
        <v>1</v>
      </c>
      <c r="AB92">
        <v>8</v>
      </c>
      <c r="AD92">
        <f t="shared" si="7"/>
        <v>9</v>
      </c>
      <c r="AE92">
        <v>120</v>
      </c>
    </row>
    <row r="93" spans="1:31" x14ac:dyDescent="0.35">
      <c r="A93" t="s">
        <v>23</v>
      </c>
      <c r="B93">
        <v>5</v>
      </c>
      <c r="D93" t="s">
        <v>91</v>
      </c>
      <c r="E93">
        <v>10</v>
      </c>
      <c r="F93" t="s">
        <v>62</v>
      </c>
      <c r="G93" t="s">
        <v>47</v>
      </c>
      <c r="H93" t="s">
        <v>28</v>
      </c>
      <c r="I93" t="s">
        <v>46</v>
      </c>
      <c r="J93" t="s">
        <v>47</v>
      </c>
      <c r="K93" t="s">
        <v>26</v>
      </c>
      <c r="L93" t="s">
        <v>70</v>
      </c>
      <c r="M93">
        <v>5</v>
      </c>
      <c r="N93" t="s">
        <v>28</v>
      </c>
      <c r="O93" t="s">
        <v>80</v>
      </c>
      <c r="P93" t="s">
        <v>82</v>
      </c>
      <c r="Q93" t="s">
        <v>42</v>
      </c>
      <c r="R93" t="s">
        <v>35</v>
      </c>
      <c r="S93" t="s">
        <v>41</v>
      </c>
      <c r="T93" t="s">
        <v>35</v>
      </c>
      <c r="U93" t="s">
        <v>35</v>
      </c>
      <c r="V93" t="str">
        <f t="shared" si="5"/>
        <v>CCHH-S</v>
      </c>
      <c r="W93">
        <v>0</v>
      </c>
      <c r="Y93" t="str">
        <f t="shared" si="6"/>
        <v>4643-5</v>
      </c>
      <c r="AA93">
        <v>2</v>
      </c>
      <c r="AB93">
        <v>14</v>
      </c>
      <c r="AC93">
        <v>6</v>
      </c>
      <c r="AD93">
        <f t="shared" si="7"/>
        <v>22</v>
      </c>
      <c r="AE93">
        <v>124</v>
      </c>
    </row>
    <row r="94" spans="1:31" x14ac:dyDescent="0.35">
      <c r="A94" t="s">
        <v>90</v>
      </c>
      <c r="B94">
        <v>6</v>
      </c>
      <c r="D94" t="s">
        <v>92</v>
      </c>
      <c r="E94">
        <v>1</v>
      </c>
      <c r="F94" t="s">
        <v>63</v>
      </c>
      <c r="G94">
        <v>6</v>
      </c>
      <c r="H94" t="s">
        <v>28</v>
      </c>
      <c r="I94" t="s">
        <v>50</v>
      </c>
      <c r="J94">
        <v>6</v>
      </c>
      <c r="K94" t="s">
        <v>26</v>
      </c>
      <c r="L94" t="s">
        <v>68</v>
      </c>
      <c r="M94">
        <v>9</v>
      </c>
      <c r="N94" t="s">
        <v>28</v>
      </c>
      <c r="O94" t="s">
        <v>56</v>
      </c>
      <c r="P94" t="s">
        <v>66</v>
      </c>
      <c r="Q94" t="s">
        <v>67</v>
      </c>
      <c r="R94" t="s">
        <v>70</v>
      </c>
      <c r="S94" t="s">
        <v>35</v>
      </c>
      <c r="T94" t="s">
        <v>35</v>
      </c>
      <c r="U94" t="s">
        <v>35</v>
      </c>
      <c r="V94" t="str">
        <f t="shared" si="5"/>
        <v>DDDS-S</v>
      </c>
      <c r="W94">
        <v>0</v>
      </c>
      <c r="Y94" t="str">
        <f t="shared" si="6"/>
        <v>8525-9</v>
      </c>
      <c r="AA94">
        <v>2</v>
      </c>
      <c r="AB94">
        <v>6</v>
      </c>
      <c r="AC94">
        <v>6</v>
      </c>
      <c r="AD94">
        <f t="shared" si="7"/>
        <v>14</v>
      </c>
      <c r="AE94">
        <v>14</v>
      </c>
    </row>
    <row r="95" spans="1:31" x14ac:dyDescent="0.35">
      <c r="A95" t="s">
        <v>23</v>
      </c>
      <c r="B95">
        <v>6</v>
      </c>
      <c r="D95" t="s">
        <v>92</v>
      </c>
      <c r="E95">
        <v>1</v>
      </c>
      <c r="F95" t="s">
        <v>79</v>
      </c>
      <c r="G95">
        <v>7</v>
      </c>
      <c r="H95" t="s">
        <v>38</v>
      </c>
      <c r="I95" t="s">
        <v>53</v>
      </c>
      <c r="J95" t="s">
        <v>40</v>
      </c>
      <c r="K95" t="s">
        <v>26</v>
      </c>
      <c r="L95" t="s">
        <v>68</v>
      </c>
      <c r="M95">
        <v>9</v>
      </c>
      <c r="N95" t="s">
        <v>28</v>
      </c>
      <c r="O95" t="s">
        <v>49</v>
      </c>
      <c r="P95" t="s">
        <v>33</v>
      </c>
      <c r="Q95" t="s">
        <v>34</v>
      </c>
      <c r="R95" t="s">
        <v>65</v>
      </c>
      <c r="S95" t="s">
        <v>35</v>
      </c>
      <c r="T95" t="s">
        <v>35</v>
      </c>
      <c r="U95" t="s">
        <v>35</v>
      </c>
      <c r="V95" t="str">
        <f t="shared" si="5"/>
        <v>CCDH-S</v>
      </c>
      <c r="W95">
        <v>0</v>
      </c>
      <c r="Y95" t="str">
        <f t="shared" si="6"/>
        <v>32AA-9</v>
      </c>
      <c r="AA95">
        <v>1</v>
      </c>
      <c r="AB95">
        <v>12</v>
      </c>
      <c r="AC95">
        <v>0</v>
      </c>
      <c r="AD95">
        <f t="shared" si="7"/>
        <v>13</v>
      </c>
      <c r="AE95">
        <v>13</v>
      </c>
    </row>
    <row r="96" spans="1:31" x14ac:dyDescent="0.35">
      <c r="A96" t="s">
        <v>90</v>
      </c>
      <c r="B96">
        <v>6</v>
      </c>
      <c r="D96" t="s">
        <v>92</v>
      </c>
      <c r="E96">
        <v>2</v>
      </c>
      <c r="F96" t="s">
        <v>75</v>
      </c>
      <c r="G96">
        <v>8</v>
      </c>
      <c r="H96" t="s">
        <v>28</v>
      </c>
      <c r="I96" t="s">
        <v>60</v>
      </c>
      <c r="J96">
        <v>4</v>
      </c>
      <c r="K96" t="s">
        <v>28</v>
      </c>
      <c r="L96" t="s">
        <v>29</v>
      </c>
      <c r="M96" t="s">
        <v>30</v>
      </c>
      <c r="N96" t="s">
        <v>26</v>
      </c>
      <c r="O96" t="s">
        <v>84</v>
      </c>
      <c r="P96" t="s">
        <v>85</v>
      </c>
      <c r="Q96" t="s">
        <v>35</v>
      </c>
      <c r="R96" t="s">
        <v>78</v>
      </c>
      <c r="S96" t="s">
        <v>35</v>
      </c>
      <c r="T96" t="s">
        <v>52</v>
      </c>
      <c r="U96" t="s">
        <v>35</v>
      </c>
      <c r="V96" t="str">
        <f t="shared" si="5"/>
        <v>CCDD-H</v>
      </c>
      <c r="W96">
        <v>0</v>
      </c>
      <c r="Y96" t="str">
        <f t="shared" si="6"/>
        <v>10AQJ-J</v>
      </c>
      <c r="AA96">
        <v>2</v>
      </c>
      <c r="AB96">
        <v>8</v>
      </c>
      <c r="AD96">
        <f t="shared" si="7"/>
        <v>10</v>
      </c>
      <c r="AE96">
        <v>24</v>
      </c>
    </row>
    <row r="97" spans="1:31" x14ac:dyDescent="0.35">
      <c r="A97" t="s">
        <v>23</v>
      </c>
      <c r="B97">
        <v>6</v>
      </c>
      <c r="D97" t="s">
        <v>92</v>
      </c>
      <c r="E97">
        <v>2</v>
      </c>
      <c r="F97" t="s">
        <v>80</v>
      </c>
      <c r="G97">
        <v>4</v>
      </c>
      <c r="H97" t="s">
        <v>55</v>
      </c>
      <c r="I97" t="s">
        <v>46</v>
      </c>
      <c r="J97" t="s">
        <v>47</v>
      </c>
      <c r="K97" t="s">
        <v>26</v>
      </c>
      <c r="L97" t="s">
        <v>29</v>
      </c>
      <c r="M97" t="s">
        <v>30</v>
      </c>
      <c r="N97" t="s">
        <v>26</v>
      </c>
      <c r="O97" t="s">
        <v>74</v>
      </c>
      <c r="P97" t="s">
        <v>27</v>
      </c>
      <c r="Q97" t="s">
        <v>35</v>
      </c>
      <c r="R97" t="s">
        <v>73</v>
      </c>
      <c r="S97" t="s">
        <v>63</v>
      </c>
      <c r="T97" t="s">
        <v>35</v>
      </c>
      <c r="U97" t="s">
        <v>35</v>
      </c>
      <c r="V97" t="str">
        <f t="shared" si="5"/>
        <v>HSCS-H</v>
      </c>
      <c r="W97">
        <v>0</v>
      </c>
      <c r="Y97" t="str">
        <f t="shared" si="6"/>
        <v>9796-J</v>
      </c>
      <c r="AA97">
        <v>2</v>
      </c>
      <c r="AB97">
        <v>6</v>
      </c>
      <c r="AC97">
        <v>2</v>
      </c>
      <c r="AD97">
        <f t="shared" si="7"/>
        <v>10</v>
      </c>
      <c r="AE97">
        <v>23</v>
      </c>
    </row>
    <row r="98" spans="1:31" x14ac:dyDescent="0.35">
      <c r="A98" t="s">
        <v>90</v>
      </c>
      <c r="B98">
        <v>6</v>
      </c>
      <c r="D98" t="s">
        <v>92</v>
      </c>
      <c r="E98">
        <v>3</v>
      </c>
      <c r="F98" t="s">
        <v>71</v>
      </c>
      <c r="G98" t="s">
        <v>40</v>
      </c>
      <c r="H98" t="s">
        <v>55</v>
      </c>
      <c r="I98" t="s">
        <v>39</v>
      </c>
      <c r="J98" t="s">
        <v>40</v>
      </c>
      <c r="K98" t="s">
        <v>28</v>
      </c>
      <c r="L98" t="s">
        <v>52</v>
      </c>
      <c r="M98" t="s">
        <v>30</v>
      </c>
      <c r="N98" t="s">
        <v>38</v>
      </c>
      <c r="O98" t="s">
        <v>50</v>
      </c>
      <c r="P98" t="s">
        <v>82</v>
      </c>
      <c r="Q98" t="s">
        <v>37</v>
      </c>
      <c r="R98" t="s">
        <v>35</v>
      </c>
      <c r="S98" t="s">
        <v>35</v>
      </c>
      <c r="T98" t="s">
        <v>44</v>
      </c>
      <c r="U98" t="s">
        <v>35</v>
      </c>
      <c r="V98" t="str">
        <f t="shared" si="5"/>
        <v>HCDH-D</v>
      </c>
      <c r="W98">
        <v>0</v>
      </c>
      <c r="Y98" t="str">
        <f t="shared" si="6"/>
        <v>6697-J</v>
      </c>
      <c r="AA98">
        <v>4</v>
      </c>
      <c r="AB98">
        <v>4</v>
      </c>
      <c r="AC98">
        <v>6</v>
      </c>
      <c r="AD98">
        <f t="shared" si="7"/>
        <v>14</v>
      </c>
      <c r="AE98">
        <v>38</v>
      </c>
    </row>
    <row r="99" spans="1:31" x14ac:dyDescent="0.35">
      <c r="A99" t="s">
        <v>23</v>
      </c>
      <c r="B99">
        <v>6</v>
      </c>
      <c r="D99" t="s">
        <v>92</v>
      </c>
      <c r="E99">
        <v>3</v>
      </c>
      <c r="F99" t="s">
        <v>80</v>
      </c>
      <c r="G99">
        <v>4</v>
      </c>
      <c r="H99" t="s">
        <v>55</v>
      </c>
      <c r="I99" t="s">
        <v>78</v>
      </c>
      <c r="J99" t="s">
        <v>40</v>
      </c>
      <c r="K99" t="s">
        <v>38</v>
      </c>
      <c r="L99" t="s">
        <v>52</v>
      </c>
      <c r="M99" t="s">
        <v>30</v>
      </c>
      <c r="N99" t="s">
        <v>38</v>
      </c>
      <c r="O99" t="s">
        <v>72</v>
      </c>
      <c r="P99" t="s">
        <v>67</v>
      </c>
      <c r="Q99" t="s">
        <v>65</v>
      </c>
      <c r="R99" t="s">
        <v>34</v>
      </c>
      <c r="S99" t="s">
        <v>35</v>
      </c>
      <c r="T99" t="s">
        <v>35</v>
      </c>
      <c r="U99" t="s">
        <v>35</v>
      </c>
      <c r="V99" t="str">
        <f t="shared" si="5"/>
        <v>SDHD-D</v>
      </c>
      <c r="W99">
        <v>0</v>
      </c>
      <c r="Y99" t="str">
        <f t="shared" si="6"/>
        <v>32AA-J</v>
      </c>
      <c r="AA99">
        <v>3</v>
      </c>
      <c r="AB99">
        <v>8</v>
      </c>
      <c r="AD99">
        <f t="shared" si="7"/>
        <v>11</v>
      </c>
      <c r="AE99">
        <v>34</v>
      </c>
    </row>
    <row r="100" spans="1:31" x14ac:dyDescent="0.35">
      <c r="A100" t="s">
        <v>90</v>
      </c>
      <c r="B100">
        <v>6</v>
      </c>
      <c r="D100" t="s">
        <v>92</v>
      </c>
      <c r="E100">
        <v>4</v>
      </c>
      <c r="F100" t="s">
        <v>44</v>
      </c>
      <c r="G100">
        <v>7</v>
      </c>
      <c r="H100" t="s">
        <v>26</v>
      </c>
      <c r="I100" t="s">
        <v>37</v>
      </c>
      <c r="J100">
        <v>9</v>
      </c>
      <c r="K100" t="s">
        <v>38</v>
      </c>
      <c r="L100" t="s">
        <v>77</v>
      </c>
      <c r="M100">
        <v>2</v>
      </c>
      <c r="N100" t="s">
        <v>26</v>
      </c>
      <c r="O100" t="s">
        <v>41</v>
      </c>
      <c r="P100" t="s">
        <v>67</v>
      </c>
      <c r="Q100" t="s">
        <v>34</v>
      </c>
      <c r="R100" t="s">
        <v>85</v>
      </c>
      <c r="S100" t="s">
        <v>35</v>
      </c>
      <c r="T100" t="s">
        <v>35</v>
      </c>
      <c r="U100" t="s">
        <v>35</v>
      </c>
      <c r="V100" t="str">
        <f t="shared" si="5"/>
        <v>HDDC-H</v>
      </c>
      <c r="W100">
        <v>0</v>
      </c>
      <c r="Y100" t="str">
        <f t="shared" si="6"/>
        <v>32AA-2</v>
      </c>
      <c r="AA100">
        <v>3</v>
      </c>
      <c r="AB100">
        <v>14</v>
      </c>
      <c r="AD100">
        <f t="shared" si="7"/>
        <v>17</v>
      </c>
      <c r="AE100">
        <v>55</v>
      </c>
    </row>
    <row r="101" spans="1:31" x14ac:dyDescent="0.35">
      <c r="A101" t="s">
        <v>23</v>
      </c>
      <c r="B101">
        <v>6</v>
      </c>
      <c r="D101" t="s">
        <v>92</v>
      </c>
      <c r="E101">
        <v>4</v>
      </c>
      <c r="F101" t="s">
        <v>61</v>
      </c>
      <c r="G101">
        <v>1</v>
      </c>
      <c r="H101" t="s">
        <v>38</v>
      </c>
      <c r="I101" t="s">
        <v>84</v>
      </c>
      <c r="J101">
        <v>1</v>
      </c>
      <c r="K101" t="s">
        <v>55</v>
      </c>
      <c r="L101" t="s">
        <v>77</v>
      </c>
      <c r="M101">
        <v>2</v>
      </c>
      <c r="N101" t="s">
        <v>26</v>
      </c>
      <c r="O101" t="s">
        <v>82</v>
      </c>
      <c r="P101" t="s">
        <v>64</v>
      </c>
      <c r="Q101" t="s">
        <v>65</v>
      </c>
      <c r="R101" t="s">
        <v>43</v>
      </c>
      <c r="S101" t="s">
        <v>35</v>
      </c>
      <c r="T101" t="s">
        <v>35</v>
      </c>
      <c r="U101" t="s">
        <v>35</v>
      </c>
      <c r="V101" t="str">
        <f t="shared" si="5"/>
        <v>CCHS-H</v>
      </c>
      <c r="W101">
        <v>0</v>
      </c>
      <c r="Y101" t="str">
        <f t="shared" si="6"/>
        <v>67A2-2</v>
      </c>
      <c r="AA101">
        <v>0</v>
      </c>
      <c r="AB101">
        <v>4</v>
      </c>
      <c r="AC101">
        <v>2</v>
      </c>
      <c r="AD101">
        <f t="shared" si="7"/>
        <v>6</v>
      </c>
      <c r="AE101">
        <v>40</v>
      </c>
    </row>
    <row r="102" spans="1:31" x14ac:dyDescent="0.35">
      <c r="A102" t="s">
        <v>90</v>
      </c>
      <c r="B102">
        <v>6</v>
      </c>
      <c r="D102" t="s">
        <v>92</v>
      </c>
      <c r="E102">
        <v>5</v>
      </c>
      <c r="F102" t="s">
        <v>67</v>
      </c>
      <c r="G102">
        <v>2</v>
      </c>
      <c r="H102" t="s">
        <v>38</v>
      </c>
      <c r="I102" t="s">
        <v>72</v>
      </c>
      <c r="J102">
        <v>3</v>
      </c>
      <c r="K102" t="s">
        <v>28</v>
      </c>
      <c r="L102" t="s">
        <v>54</v>
      </c>
      <c r="M102">
        <v>8</v>
      </c>
      <c r="N102" t="s">
        <v>55</v>
      </c>
      <c r="O102" t="s">
        <v>68</v>
      </c>
      <c r="P102" t="s">
        <v>73</v>
      </c>
      <c r="Q102" t="s">
        <v>50</v>
      </c>
      <c r="R102" t="s">
        <v>35</v>
      </c>
      <c r="S102" t="s">
        <v>66</v>
      </c>
      <c r="T102" t="s">
        <v>35</v>
      </c>
      <c r="U102" t="s">
        <v>35</v>
      </c>
      <c r="V102" t="str">
        <f t="shared" si="5"/>
        <v>SCHD-C</v>
      </c>
      <c r="W102">
        <v>0</v>
      </c>
      <c r="Y102" t="str">
        <f t="shared" si="6"/>
        <v>9965-8</v>
      </c>
      <c r="AA102">
        <v>0</v>
      </c>
      <c r="AB102">
        <v>6</v>
      </c>
      <c r="AC102">
        <v>6</v>
      </c>
      <c r="AD102">
        <f t="shared" si="7"/>
        <v>12</v>
      </c>
      <c r="AE102">
        <v>67</v>
      </c>
    </row>
    <row r="103" spans="1:31" x14ac:dyDescent="0.35">
      <c r="A103" t="s">
        <v>23</v>
      </c>
      <c r="B103">
        <v>6</v>
      </c>
      <c r="D103" t="s">
        <v>92</v>
      </c>
      <c r="E103">
        <v>5</v>
      </c>
      <c r="F103" t="s">
        <v>46</v>
      </c>
      <c r="G103" t="s">
        <v>47</v>
      </c>
      <c r="H103" t="s">
        <v>26</v>
      </c>
      <c r="I103" t="s">
        <v>32</v>
      </c>
      <c r="J103" t="s">
        <v>47</v>
      </c>
      <c r="K103" t="s">
        <v>38</v>
      </c>
      <c r="L103" t="s">
        <v>54</v>
      </c>
      <c r="M103">
        <v>8</v>
      </c>
      <c r="N103" t="s">
        <v>55</v>
      </c>
      <c r="O103" t="s">
        <v>31</v>
      </c>
      <c r="P103" t="s">
        <v>49</v>
      </c>
      <c r="Q103" t="s">
        <v>34</v>
      </c>
      <c r="R103" t="s">
        <v>35</v>
      </c>
      <c r="S103" t="s">
        <v>43</v>
      </c>
      <c r="T103" t="s">
        <v>35</v>
      </c>
      <c r="U103" t="s">
        <v>35</v>
      </c>
      <c r="V103" t="str">
        <f t="shared" si="5"/>
        <v>DCDS-C</v>
      </c>
      <c r="W103">
        <v>0</v>
      </c>
      <c r="Y103" t="str">
        <f t="shared" si="6"/>
        <v>33A2-8</v>
      </c>
      <c r="AA103">
        <v>3</v>
      </c>
      <c r="AB103">
        <v>8</v>
      </c>
      <c r="AD103">
        <f t="shared" si="7"/>
        <v>11</v>
      </c>
      <c r="AE103">
        <v>51</v>
      </c>
    </row>
    <row r="104" spans="1:31" x14ac:dyDescent="0.35">
      <c r="A104" t="s">
        <v>90</v>
      </c>
      <c r="B104">
        <v>6</v>
      </c>
      <c r="D104" t="s">
        <v>92</v>
      </c>
      <c r="E104">
        <v>6</v>
      </c>
      <c r="F104" t="s">
        <v>81</v>
      </c>
      <c r="G104" t="s">
        <v>30</v>
      </c>
      <c r="H104" t="s">
        <v>55</v>
      </c>
      <c r="I104" t="s">
        <v>62</v>
      </c>
      <c r="J104" t="s">
        <v>47</v>
      </c>
      <c r="K104" t="s">
        <v>28</v>
      </c>
      <c r="L104" t="s">
        <v>57</v>
      </c>
      <c r="M104" t="s">
        <v>58</v>
      </c>
      <c r="N104" t="s">
        <v>28</v>
      </c>
      <c r="O104" t="s">
        <v>54</v>
      </c>
      <c r="P104" t="s">
        <v>79</v>
      </c>
      <c r="Q104" t="s">
        <v>34</v>
      </c>
      <c r="R104" t="s">
        <v>35</v>
      </c>
      <c r="S104" t="s">
        <v>63</v>
      </c>
      <c r="T104" t="s">
        <v>35</v>
      </c>
      <c r="U104" t="s">
        <v>35</v>
      </c>
      <c r="V104" t="str">
        <f t="shared" si="5"/>
        <v>CDDS-S</v>
      </c>
      <c r="W104">
        <v>0</v>
      </c>
      <c r="Y104" t="str">
        <f t="shared" si="6"/>
        <v>87A6-A</v>
      </c>
      <c r="AA104">
        <v>4</v>
      </c>
      <c r="AB104">
        <v>9</v>
      </c>
      <c r="AC104">
        <v>0</v>
      </c>
      <c r="AD104">
        <f t="shared" si="7"/>
        <v>13</v>
      </c>
      <c r="AE104">
        <v>80</v>
      </c>
    </row>
    <row r="105" spans="1:31" x14ac:dyDescent="0.35">
      <c r="A105" t="s">
        <v>23</v>
      </c>
      <c r="B105">
        <v>6</v>
      </c>
      <c r="D105" t="s">
        <v>92</v>
      </c>
      <c r="E105">
        <v>6</v>
      </c>
      <c r="F105" t="s">
        <v>85</v>
      </c>
      <c r="G105" t="s">
        <v>58</v>
      </c>
      <c r="H105" t="s">
        <v>55</v>
      </c>
      <c r="I105" t="s">
        <v>43</v>
      </c>
      <c r="J105">
        <v>2</v>
      </c>
      <c r="K105" t="s">
        <v>28</v>
      </c>
      <c r="L105" t="s">
        <v>57</v>
      </c>
      <c r="M105" t="s">
        <v>58</v>
      </c>
      <c r="N105" t="s">
        <v>28</v>
      </c>
      <c r="O105" t="s">
        <v>64</v>
      </c>
      <c r="P105" t="s">
        <v>56</v>
      </c>
      <c r="Q105" t="s">
        <v>35</v>
      </c>
      <c r="R105" t="s">
        <v>35</v>
      </c>
      <c r="S105" t="s">
        <v>75</v>
      </c>
      <c r="T105" t="s">
        <v>32</v>
      </c>
      <c r="U105" t="s">
        <v>35</v>
      </c>
      <c r="V105" t="str">
        <f t="shared" si="5"/>
        <v>CDSD-S</v>
      </c>
      <c r="W105">
        <v>0</v>
      </c>
      <c r="Y105" t="str">
        <f t="shared" si="6"/>
        <v>788K-A</v>
      </c>
      <c r="AA105">
        <v>3</v>
      </c>
      <c r="AB105">
        <v>6</v>
      </c>
      <c r="AC105">
        <v>2</v>
      </c>
      <c r="AD105">
        <f t="shared" si="7"/>
        <v>11</v>
      </c>
      <c r="AE105">
        <v>62</v>
      </c>
    </row>
    <row r="106" spans="1:31" x14ac:dyDescent="0.35">
      <c r="A106" t="s">
        <v>90</v>
      </c>
      <c r="B106">
        <v>6</v>
      </c>
      <c r="D106" t="s">
        <v>92</v>
      </c>
      <c r="E106">
        <v>7</v>
      </c>
      <c r="F106" t="s">
        <v>63</v>
      </c>
      <c r="G106">
        <v>6</v>
      </c>
      <c r="H106" t="s">
        <v>28</v>
      </c>
      <c r="I106" t="s">
        <v>79</v>
      </c>
      <c r="J106">
        <v>7</v>
      </c>
      <c r="K106" t="s">
        <v>38</v>
      </c>
      <c r="L106" t="s">
        <v>62</v>
      </c>
      <c r="M106" t="s">
        <v>47</v>
      </c>
      <c r="N106" t="s">
        <v>28</v>
      </c>
      <c r="O106" t="s">
        <v>59</v>
      </c>
      <c r="P106" t="s">
        <v>49</v>
      </c>
      <c r="Q106" t="s">
        <v>34</v>
      </c>
      <c r="R106" t="s">
        <v>57</v>
      </c>
      <c r="S106" t="s">
        <v>35</v>
      </c>
      <c r="T106" t="s">
        <v>35</v>
      </c>
      <c r="U106" t="s">
        <v>35</v>
      </c>
      <c r="V106" t="str">
        <f t="shared" si="5"/>
        <v>DCDS-S</v>
      </c>
      <c r="W106">
        <v>0</v>
      </c>
      <c r="Y106" t="str">
        <f t="shared" si="6"/>
        <v>43AA-K</v>
      </c>
      <c r="AA106">
        <v>4</v>
      </c>
      <c r="AB106">
        <v>8</v>
      </c>
      <c r="AC106">
        <v>3</v>
      </c>
      <c r="AD106">
        <f t="shared" si="7"/>
        <v>15</v>
      </c>
      <c r="AE106">
        <v>95</v>
      </c>
    </row>
    <row r="107" spans="1:31" x14ac:dyDescent="0.35">
      <c r="A107" t="s">
        <v>23</v>
      </c>
      <c r="B107">
        <v>6</v>
      </c>
      <c r="D107" t="s">
        <v>92</v>
      </c>
      <c r="E107">
        <v>7</v>
      </c>
      <c r="F107" t="s">
        <v>50</v>
      </c>
      <c r="G107">
        <v>6</v>
      </c>
      <c r="H107" t="s">
        <v>26</v>
      </c>
      <c r="I107" t="s">
        <v>86</v>
      </c>
      <c r="J107" t="s">
        <v>30</v>
      </c>
      <c r="K107" t="s">
        <v>28</v>
      </c>
      <c r="L107" t="s">
        <v>62</v>
      </c>
      <c r="M107" t="s">
        <v>47</v>
      </c>
      <c r="N107" t="s">
        <v>28</v>
      </c>
      <c r="O107" t="s">
        <v>80</v>
      </c>
      <c r="P107" t="s">
        <v>33</v>
      </c>
      <c r="Q107" t="s">
        <v>54</v>
      </c>
      <c r="R107" t="s">
        <v>64</v>
      </c>
      <c r="S107" t="s">
        <v>35</v>
      </c>
      <c r="T107" t="s">
        <v>35</v>
      </c>
      <c r="U107" t="s">
        <v>35</v>
      </c>
      <c r="V107" t="str">
        <f t="shared" si="5"/>
        <v>CCCC-S</v>
      </c>
      <c r="W107">
        <v>4</v>
      </c>
      <c r="X107">
        <v>0</v>
      </c>
      <c r="Y107" t="str">
        <f t="shared" si="6"/>
        <v>4287-K</v>
      </c>
      <c r="AA107">
        <v>6</v>
      </c>
      <c r="AB107">
        <v>6</v>
      </c>
      <c r="AD107">
        <f t="shared" si="7"/>
        <v>12</v>
      </c>
      <c r="AE107">
        <v>74</v>
      </c>
    </row>
    <row r="108" spans="1:31" x14ac:dyDescent="0.35">
      <c r="A108" t="s">
        <v>90</v>
      </c>
      <c r="B108">
        <v>6</v>
      </c>
      <c r="D108" t="s">
        <v>92</v>
      </c>
      <c r="E108">
        <v>8</v>
      </c>
      <c r="F108" t="s">
        <v>31</v>
      </c>
      <c r="G108">
        <v>3</v>
      </c>
      <c r="H108" t="s">
        <v>38</v>
      </c>
      <c r="I108" t="s">
        <v>60</v>
      </c>
      <c r="J108">
        <v>4</v>
      </c>
      <c r="K108" t="s">
        <v>28</v>
      </c>
      <c r="L108" t="s">
        <v>63</v>
      </c>
      <c r="M108">
        <v>6</v>
      </c>
      <c r="N108" t="s">
        <v>28</v>
      </c>
      <c r="O108" t="s">
        <v>81</v>
      </c>
      <c r="P108" t="s">
        <v>34</v>
      </c>
      <c r="Q108" t="s">
        <v>35</v>
      </c>
      <c r="R108" t="s">
        <v>71</v>
      </c>
      <c r="S108" t="s">
        <v>46</v>
      </c>
      <c r="T108" t="s">
        <v>35</v>
      </c>
      <c r="U108" t="s">
        <v>35</v>
      </c>
      <c r="V108" t="str">
        <f t="shared" si="5"/>
        <v>CDCH-S</v>
      </c>
      <c r="W108">
        <v>0</v>
      </c>
      <c r="Y108" t="str">
        <f t="shared" si="6"/>
        <v>JAQK-6</v>
      </c>
      <c r="AA108">
        <v>0</v>
      </c>
      <c r="AB108">
        <v>3</v>
      </c>
      <c r="AD108">
        <f t="shared" si="7"/>
        <v>3</v>
      </c>
      <c r="AE108">
        <v>98</v>
      </c>
    </row>
    <row r="109" spans="1:31" x14ac:dyDescent="0.35">
      <c r="A109" t="s">
        <v>23</v>
      </c>
      <c r="B109">
        <v>6</v>
      </c>
      <c r="D109" t="s">
        <v>92</v>
      </c>
      <c r="E109">
        <v>8</v>
      </c>
      <c r="F109" t="s">
        <v>32</v>
      </c>
      <c r="G109" t="s">
        <v>47</v>
      </c>
      <c r="H109" t="s">
        <v>38</v>
      </c>
      <c r="I109" t="s">
        <v>83</v>
      </c>
      <c r="J109" t="s">
        <v>47</v>
      </c>
      <c r="K109" t="s">
        <v>55</v>
      </c>
      <c r="L109" t="s">
        <v>63</v>
      </c>
      <c r="M109">
        <v>6</v>
      </c>
      <c r="N109" t="s">
        <v>28</v>
      </c>
      <c r="O109" t="s">
        <v>59</v>
      </c>
      <c r="P109" t="s">
        <v>45</v>
      </c>
      <c r="Q109" t="s">
        <v>49</v>
      </c>
      <c r="R109" t="s">
        <v>35</v>
      </c>
      <c r="S109" t="s">
        <v>82</v>
      </c>
      <c r="T109" t="s">
        <v>35</v>
      </c>
      <c r="U109" t="s">
        <v>35</v>
      </c>
      <c r="V109" t="str">
        <f t="shared" si="5"/>
        <v>DHCC-S</v>
      </c>
      <c r="W109">
        <v>0</v>
      </c>
      <c r="Y109" t="str">
        <f t="shared" si="6"/>
        <v>4836-6</v>
      </c>
      <c r="AA109">
        <v>1</v>
      </c>
      <c r="AB109">
        <v>4</v>
      </c>
      <c r="AC109">
        <v>2</v>
      </c>
      <c r="AD109">
        <f t="shared" si="7"/>
        <v>7</v>
      </c>
      <c r="AE109">
        <v>81</v>
      </c>
    </row>
    <row r="110" spans="1:31" x14ac:dyDescent="0.35">
      <c r="A110" t="s">
        <v>90</v>
      </c>
      <c r="B110">
        <v>6</v>
      </c>
      <c r="D110" t="s">
        <v>92</v>
      </c>
      <c r="E110">
        <v>9</v>
      </c>
      <c r="F110" t="s">
        <v>75</v>
      </c>
      <c r="G110">
        <v>8</v>
      </c>
      <c r="H110" t="s">
        <v>28</v>
      </c>
      <c r="I110" t="s">
        <v>31</v>
      </c>
      <c r="J110">
        <v>3</v>
      </c>
      <c r="K110" t="s">
        <v>38</v>
      </c>
      <c r="L110" t="s">
        <v>39</v>
      </c>
      <c r="M110" t="s">
        <v>40</v>
      </c>
      <c r="N110" t="s">
        <v>28</v>
      </c>
      <c r="O110" t="s">
        <v>78</v>
      </c>
      <c r="P110" t="s">
        <v>53</v>
      </c>
      <c r="Q110" t="s">
        <v>35</v>
      </c>
      <c r="R110" t="s">
        <v>66</v>
      </c>
      <c r="S110" t="s">
        <v>34</v>
      </c>
      <c r="T110" t="s">
        <v>35</v>
      </c>
      <c r="U110" t="s">
        <v>35</v>
      </c>
      <c r="V110" t="str">
        <f t="shared" si="5"/>
        <v>DHDD-S</v>
      </c>
      <c r="W110">
        <v>0</v>
      </c>
      <c r="Y110" t="str">
        <f t="shared" si="6"/>
        <v>QQ5A-Q</v>
      </c>
      <c r="AA110">
        <v>0</v>
      </c>
      <c r="AB110">
        <v>12</v>
      </c>
      <c r="AC110">
        <v>4</v>
      </c>
      <c r="AD110">
        <f t="shared" si="7"/>
        <v>16</v>
      </c>
      <c r="AE110">
        <v>11</v>
      </c>
    </row>
    <row r="111" spans="1:31" x14ac:dyDescent="0.35">
      <c r="A111" t="s">
        <v>23</v>
      </c>
      <c r="B111">
        <v>6</v>
      </c>
      <c r="D111" t="s">
        <v>92</v>
      </c>
      <c r="E111">
        <v>9</v>
      </c>
      <c r="F111" t="s">
        <v>27</v>
      </c>
      <c r="G111">
        <v>7</v>
      </c>
      <c r="H111" t="s">
        <v>28</v>
      </c>
      <c r="I111" t="s">
        <v>71</v>
      </c>
      <c r="J111" t="s">
        <v>40</v>
      </c>
      <c r="K111" t="s">
        <v>55</v>
      </c>
      <c r="L111" t="s">
        <v>39</v>
      </c>
      <c r="M111" t="s">
        <v>40</v>
      </c>
      <c r="N111" t="s">
        <v>28</v>
      </c>
      <c r="O111" t="s">
        <v>68</v>
      </c>
      <c r="P111" t="s">
        <v>67</v>
      </c>
      <c r="Q111" t="s">
        <v>35</v>
      </c>
      <c r="R111" t="s">
        <v>81</v>
      </c>
      <c r="S111" t="s">
        <v>42</v>
      </c>
      <c r="T111" t="s">
        <v>35</v>
      </c>
      <c r="U111" t="s">
        <v>35</v>
      </c>
      <c r="V111" t="str">
        <f t="shared" si="5"/>
        <v>SDCH-S</v>
      </c>
      <c r="W111">
        <v>0</v>
      </c>
      <c r="Y111" t="str">
        <f t="shared" si="6"/>
        <v>92J4-Q</v>
      </c>
      <c r="AA111">
        <v>4</v>
      </c>
      <c r="AB111">
        <v>2</v>
      </c>
      <c r="AD111">
        <f t="shared" si="7"/>
        <v>6</v>
      </c>
      <c r="AE111">
        <v>87</v>
      </c>
    </row>
    <row r="112" spans="1:31" x14ac:dyDescent="0.35">
      <c r="A112" t="s">
        <v>90</v>
      </c>
      <c r="B112">
        <v>6</v>
      </c>
      <c r="D112" t="s">
        <v>92</v>
      </c>
      <c r="E112">
        <v>10</v>
      </c>
      <c r="F112" t="s">
        <v>37</v>
      </c>
      <c r="G112">
        <v>9</v>
      </c>
      <c r="H112" t="s">
        <v>38</v>
      </c>
      <c r="I112" t="s">
        <v>73</v>
      </c>
      <c r="J112">
        <v>9</v>
      </c>
      <c r="K112" t="s">
        <v>55</v>
      </c>
      <c r="L112" t="s">
        <v>51</v>
      </c>
      <c r="M112">
        <v>6</v>
      </c>
      <c r="N112" t="s">
        <v>38</v>
      </c>
      <c r="O112" t="s">
        <v>31</v>
      </c>
      <c r="P112" t="s">
        <v>43</v>
      </c>
      <c r="Q112" t="s">
        <v>46</v>
      </c>
      <c r="R112" t="s">
        <v>35</v>
      </c>
      <c r="S112" t="s">
        <v>34</v>
      </c>
      <c r="T112" t="s">
        <v>35</v>
      </c>
      <c r="U112" t="s">
        <v>35</v>
      </c>
      <c r="V112" t="str">
        <f t="shared" si="5"/>
        <v>DSHD-D</v>
      </c>
      <c r="W112">
        <v>0</v>
      </c>
      <c r="Y112" t="str">
        <f t="shared" si="6"/>
        <v>32KA-6</v>
      </c>
      <c r="AA112">
        <v>5</v>
      </c>
      <c r="AB112">
        <v>5</v>
      </c>
      <c r="AD112">
        <f t="shared" si="7"/>
        <v>10</v>
      </c>
      <c r="AE112">
        <v>122</v>
      </c>
    </row>
    <row r="113" spans="1:31" x14ac:dyDescent="0.35">
      <c r="A113" t="s">
        <v>23</v>
      </c>
      <c r="B113">
        <v>6</v>
      </c>
      <c r="D113" t="s">
        <v>92</v>
      </c>
      <c r="E113">
        <v>10</v>
      </c>
      <c r="F113" t="s">
        <v>83</v>
      </c>
      <c r="G113" t="s">
        <v>47</v>
      </c>
      <c r="H113" t="s">
        <v>55</v>
      </c>
      <c r="I113" t="s">
        <v>71</v>
      </c>
      <c r="J113" t="s">
        <v>40</v>
      </c>
      <c r="K113" t="s">
        <v>55</v>
      </c>
      <c r="L113" t="s">
        <v>51</v>
      </c>
      <c r="M113">
        <v>6</v>
      </c>
      <c r="N113" t="s">
        <v>38</v>
      </c>
      <c r="O113" t="s">
        <v>59</v>
      </c>
      <c r="P113" t="s">
        <v>50</v>
      </c>
      <c r="Q113" t="s">
        <v>63</v>
      </c>
      <c r="R113" t="s">
        <v>35</v>
      </c>
      <c r="S113" t="s">
        <v>77</v>
      </c>
      <c r="T113" t="s">
        <v>35</v>
      </c>
      <c r="U113" t="s">
        <v>35</v>
      </c>
      <c r="V113" t="str">
        <f t="shared" si="5"/>
        <v>DHSH-D</v>
      </c>
      <c r="W113">
        <v>0</v>
      </c>
      <c r="Y113" t="str">
        <f t="shared" si="6"/>
        <v>4662-6</v>
      </c>
      <c r="AA113">
        <v>0</v>
      </c>
      <c r="AB113">
        <v>6</v>
      </c>
      <c r="AC113">
        <v>6</v>
      </c>
      <c r="AD113">
        <f t="shared" si="7"/>
        <v>12</v>
      </c>
      <c r="AE113">
        <v>93</v>
      </c>
    </row>
    <row r="114" spans="1:31" x14ac:dyDescent="0.35">
      <c r="A114" t="s">
        <v>90</v>
      </c>
      <c r="B114">
        <v>7</v>
      </c>
      <c r="D114" t="s">
        <v>93</v>
      </c>
      <c r="E114">
        <v>1</v>
      </c>
      <c r="F114" t="s">
        <v>34</v>
      </c>
      <c r="G114" t="s">
        <v>58</v>
      </c>
      <c r="H114" t="s">
        <v>38</v>
      </c>
      <c r="I114" t="s">
        <v>77</v>
      </c>
      <c r="J114">
        <v>2</v>
      </c>
      <c r="K114" t="s">
        <v>26</v>
      </c>
      <c r="L114" t="s">
        <v>66</v>
      </c>
      <c r="M114">
        <v>5</v>
      </c>
      <c r="N114" t="s">
        <v>38</v>
      </c>
      <c r="O114" t="s">
        <v>73</v>
      </c>
      <c r="P114" t="s">
        <v>70</v>
      </c>
      <c r="Q114" t="s">
        <v>35</v>
      </c>
      <c r="R114" t="s">
        <v>35</v>
      </c>
      <c r="S114" t="s">
        <v>71</v>
      </c>
      <c r="T114" t="s">
        <v>52</v>
      </c>
      <c r="U114" t="s">
        <v>35</v>
      </c>
      <c r="V114" t="str">
        <f t="shared" si="5"/>
        <v>CSCD-D</v>
      </c>
      <c r="W114">
        <v>0</v>
      </c>
      <c r="Y114" t="str">
        <f t="shared" si="6"/>
        <v>95QJ-5</v>
      </c>
      <c r="AA114">
        <v>0</v>
      </c>
      <c r="AB114">
        <v>10</v>
      </c>
      <c r="AD114">
        <f t="shared" si="7"/>
        <v>10</v>
      </c>
      <c r="AE114">
        <v>10</v>
      </c>
    </row>
    <row r="115" spans="1:31" x14ac:dyDescent="0.35">
      <c r="A115" t="s">
        <v>23</v>
      </c>
      <c r="B115">
        <v>7</v>
      </c>
      <c r="D115" t="s">
        <v>93</v>
      </c>
      <c r="E115">
        <v>1</v>
      </c>
      <c r="F115" t="s">
        <v>29</v>
      </c>
      <c r="G115" t="s">
        <v>30</v>
      </c>
      <c r="H115" t="s">
        <v>26</v>
      </c>
      <c r="I115" t="s">
        <v>25</v>
      </c>
      <c r="J115">
        <v>5</v>
      </c>
      <c r="K115" t="s">
        <v>26</v>
      </c>
      <c r="L115" t="s">
        <v>66</v>
      </c>
      <c r="M115">
        <v>5</v>
      </c>
      <c r="N115" t="s">
        <v>38</v>
      </c>
      <c r="O115" t="s">
        <v>56</v>
      </c>
      <c r="P115" t="s">
        <v>45</v>
      </c>
      <c r="Q115" t="s">
        <v>65</v>
      </c>
      <c r="R115" t="s">
        <v>35</v>
      </c>
      <c r="S115" t="s">
        <v>63</v>
      </c>
      <c r="T115" t="s">
        <v>35</v>
      </c>
      <c r="U115" t="s">
        <v>35</v>
      </c>
      <c r="V115" t="str">
        <f t="shared" si="5"/>
        <v>DHHS-D</v>
      </c>
      <c r="W115">
        <v>0</v>
      </c>
      <c r="Y115" t="str">
        <f t="shared" si="6"/>
        <v>88A6-5</v>
      </c>
      <c r="AA115">
        <v>2</v>
      </c>
      <c r="AB115">
        <v>6</v>
      </c>
      <c r="AC115">
        <v>6</v>
      </c>
      <c r="AD115">
        <f t="shared" si="7"/>
        <v>14</v>
      </c>
      <c r="AE115">
        <v>14</v>
      </c>
    </row>
    <row r="116" spans="1:31" x14ac:dyDescent="0.35">
      <c r="A116" t="s">
        <v>90</v>
      </c>
      <c r="B116">
        <v>7</v>
      </c>
      <c r="D116" t="s">
        <v>93</v>
      </c>
      <c r="E116">
        <v>2</v>
      </c>
      <c r="F116" t="s">
        <v>74</v>
      </c>
      <c r="G116">
        <v>9</v>
      </c>
      <c r="H116" t="s">
        <v>26</v>
      </c>
      <c r="I116" t="s">
        <v>73</v>
      </c>
      <c r="J116">
        <v>9</v>
      </c>
      <c r="K116" t="s">
        <v>55</v>
      </c>
      <c r="L116" t="s">
        <v>67</v>
      </c>
      <c r="M116">
        <v>2</v>
      </c>
      <c r="N116" t="s">
        <v>38</v>
      </c>
      <c r="O116" t="s">
        <v>61</v>
      </c>
      <c r="P116" t="s">
        <v>79</v>
      </c>
      <c r="Q116" t="s">
        <v>59</v>
      </c>
      <c r="R116" t="s">
        <v>35</v>
      </c>
      <c r="S116" t="s">
        <v>66</v>
      </c>
      <c r="T116" t="s">
        <v>35</v>
      </c>
      <c r="U116" t="s">
        <v>35</v>
      </c>
      <c r="V116" t="str">
        <f t="shared" si="5"/>
        <v>DDDD-D</v>
      </c>
      <c r="W116">
        <v>5</v>
      </c>
      <c r="X116">
        <v>1</v>
      </c>
      <c r="Y116" t="str">
        <f t="shared" si="6"/>
        <v>10745-2</v>
      </c>
      <c r="AA116">
        <v>2</v>
      </c>
      <c r="AB116">
        <v>7</v>
      </c>
      <c r="AC116">
        <v>4</v>
      </c>
      <c r="AD116">
        <f t="shared" si="7"/>
        <v>13</v>
      </c>
      <c r="AE116">
        <v>23</v>
      </c>
    </row>
    <row r="117" spans="1:31" x14ac:dyDescent="0.35">
      <c r="A117" t="s">
        <v>23</v>
      </c>
      <c r="B117">
        <v>7</v>
      </c>
      <c r="D117" t="s">
        <v>93</v>
      </c>
      <c r="E117">
        <v>2</v>
      </c>
      <c r="F117" t="s">
        <v>39</v>
      </c>
      <c r="G117" t="s">
        <v>40</v>
      </c>
      <c r="H117" t="s">
        <v>28</v>
      </c>
      <c r="I117" t="s">
        <v>72</v>
      </c>
      <c r="J117">
        <v>3</v>
      </c>
      <c r="K117" t="s">
        <v>28</v>
      </c>
      <c r="L117" t="s">
        <v>67</v>
      </c>
      <c r="M117">
        <v>2</v>
      </c>
      <c r="N117" t="s">
        <v>38</v>
      </c>
      <c r="O117" t="s">
        <v>84</v>
      </c>
      <c r="P117" t="s">
        <v>35</v>
      </c>
      <c r="Q117" t="s">
        <v>35</v>
      </c>
      <c r="R117" t="s">
        <v>63</v>
      </c>
      <c r="S117" t="s">
        <v>64</v>
      </c>
      <c r="T117" t="s">
        <v>75</v>
      </c>
      <c r="U117" t="s">
        <v>35</v>
      </c>
      <c r="V117" t="str">
        <f t="shared" si="5"/>
        <v>CSCS-D</v>
      </c>
      <c r="W117">
        <v>0</v>
      </c>
      <c r="Y117" t="str">
        <f t="shared" si="6"/>
        <v>10678-2</v>
      </c>
      <c r="AA117">
        <v>9</v>
      </c>
      <c r="AB117">
        <v>5</v>
      </c>
      <c r="AD117">
        <f t="shared" si="7"/>
        <v>14</v>
      </c>
      <c r="AE117">
        <v>28</v>
      </c>
    </row>
    <row r="118" spans="1:31" x14ac:dyDescent="0.35">
      <c r="A118" t="s">
        <v>90</v>
      </c>
      <c r="B118">
        <v>7</v>
      </c>
      <c r="D118" t="s">
        <v>93</v>
      </c>
      <c r="E118">
        <v>3</v>
      </c>
      <c r="F118" t="s">
        <v>44</v>
      </c>
      <c r="G118">
        <v>7</v>
      </c>
      <c r="H118" t="s">
        <v>26</v>
      </c>
      <c r="I118" t="s">
        <v>65</v>
      </c>
      <c r="J118" t="s">
        <v>58</v>
      </c>
      <c r="K118" t="s">
        <v>26</v>
      </c>
      <c r="L118" t="s">
        <v>80</v>
      </c>
      <c r="M118">
        <v>4</v>
      </c>
      <c r="N118" t="s">
        <v>55</v>
      </c>
      <c r="O118" t="s">
        <v>62</v>
      </c>
      <c r="P118" t="s">
        <v>29</v>
      </c>
      <c r="Q118" t="s">
        <v>35</v>
      </c>
      <c r="R118" t="s">
        <v>81</v>
      </c>
      <c r="S118" t="s">
        <v>69</v>
      </c>
      <c r="T118" t="s">
        <v>35</v>
      </c>
      <c r="U118" t="s">
        <v>35</v>
      </c>
      <c r="V118" t="str">
        <f t="shared" si="5"/>
        <v>SHCC-C</v>
      </c>
      <c r="W118">
        <v>0</v>
      </c>
      <c r="Y118" t="str">
        <f t="shared" si="6"/>
        <v>KJJ5-4</v>
      </c>
      <c r="AA118">
        <v>1</v>
      </c>
      <c r="AB118">
        <v>8</v>
      </c>
      <c r="AD118">
        <f t="shared" si="7"/>
        <v>9</v>
      </c>
      <c r="AE118">
        <v>32</v>
      </c>
    </row>
    <row r="119" spans="1:31" x14ac:dyDescent="0.35">
      <c r="A119" t="s">
        <v>23</v>
      </c>
      <c r="B119">
        <v>7</v>
      </c>
      <c r="D119" t="s">
        <v>93</v>
      </c>
      <c r="E119">
        <v>3</v>
      </c>
      <c r="F119" t="s">
        <v>56</v>
      </c>
      <c r="G119">
        <v>8</v>
      </c>
      <c r="H119" t="s">
        <v>38</v>
      </c>
      <c r="I119" t="s">
        <v>86</v>
      </c>
      <c r="J119" t="s">
        <v>30</v>
      </c>
      <c r="K119" t="s">
        <v>28</v>
      </c>
      <c r="L119" t="s">
        <v>80</v>
      </c>
      <c r="M119">
        <v>4</v>
      </c>
      <c r="N119" t="s">
        <v>55</v>
      </c>
      <c r="O119" t="s">
        <v>42</v>
      </c>
      <c r="P119" t="s">
        <v>31</v>
      </c>
      <c r="Q119" t="s">
        <v>67</v>
      </c>
      <c r="R119" t="s">
        <v>35</v>
      </c>
      <c r="S119" t="s">
        <v>63</v>
      </c>
      <c r="T119" t="s">
        <v>35</v>
      </c>
      <c r="U119" t="s">
        <v>35</v>
      </c>
      <c r="V119" t="str">
        <f t="shared" si="5"/>
        <v>HDDS-C</v>
      </c>
      <c r="W119">
        <v>0</v>
      </c>
      <c r="Y119" t="str">
        <f t="shared" si="6"/>
        <v>4326-4</v>
      </c>
      <c r="AA119">
        <v>1</v>
      </c>
      <c r="AB119">
        <v>12</v>
      </c>
      <c r="AC119">
        <v>4</v>
      </c>
      <c r="AD119">
        <f t="shared" si="7"/>
        <v>17</v>
      </c>
      <c r="AE119">
        <v>45</v>
      </c>
    </row>
    <row r="120" spans="1:31" x14ac:dyDescent="0.35">
      <c r="A120" t="s">
        <v>90</v>
      </c>
      <c r="B120">
        <v>7</v>
      </c>
      <c r="D120" t="s">
        <v>93</v>
      </c>
      <c r="E120">
        <v>4</v>
      </c>
      <c r="F120" t="s">
        <v>65</v>
      </c>
      <c r="G120" t="s">
        <v>58</v>
      </c>
      <c r="H120" t="s">
        <v>26</v>
      </c>
      <c r="I120" t="s">
        <v>41</v>
      </c>
      <c r="J120">
        <v>3</v>
      </c>
      <c r="K120" t="s">
        <v>26</v>
      </c>
      <c r="L120" t="s">
        <v>39</v>
      </c>
      <c r="M120" t="s">
        <v>40</v>
      </c>
      <c r="N120" t="s">
        <v>28</v>
      </c>
      <c r="O120" t="s">
        <v>84</v>
      </c>
      <c r="P120" t="s">
        <v>78</v>
      </c>
      <c r="Q120" t="s">
        <v>35</v>
      </c>
      <c r="R120" t="s">
        <v>61</v>
      </c>
      <c r="S120" t="s">
        <v>35</v>
      </c>
      <c r="T120" t="s">
        <v>70</v>
      </c>
      <c r="U120" t="s">
        <v>35</v>
      </c>
      <c r="V120" t="str">
        <f t="shared" si="5"/>
        <v>CDDS-S</v>
      </c>
      <c r="W120">
        <v>0</v>
      </c>
      <c r="Y120" t="str">
        <f t="shared" si="6"/>
        <v>10Q105-Q</v>
      </c>
      <c r="AA120">
        <v>1</v>
      </c>
      <c r="AB120">
        <v>12</v>
      </c>
      <c r="AC120">
        <v>5</v>
      </c>
      <c r="AD120">
        <f t="shared" si="7"/>
        <v>18</v>
      </c>
      <c r="AE120">
        <v>50</v>
      </c>
    </row>
    <row r="121" spans="1:31" x14ac:dyDescent="0.35">
      <c r="A121" t="s">
        <v>23</v>
      </c>
      <c r="B121">
        <v>7</v>
      </c>
      <c r="D121" t="s">
        <v>93</v>
      </c>
      <c r="E121">
        <v>4</v>
      </c>
      <c r="F121" t="s">
        <v>67</v>
      </c>
      <c r="G121">
        <v>2</v>
      </c>
      <c r="H121" t="s">
        <v>38</v>
      </c>
      <c r="I121" t="s">
        <v>45</v>
      </c>
      <c r="J121">
        <v>8</v>
      </c>
      <c r="K121" t="s">
        <v>26</v>
      </c>
      <c r="L121" t="s">
        <v>39</v>
      </c>
      <c r="M121" t="s">
        <v>40</v>
      </c>
      <c r="N121" t="s">
        <v>28</v>
      </c>
      <c r="O121" t="s">
        <v>46</v>
      </c>
      <c r="P121" t="s">
        <v>35</v>
      </c>
      <c r="Q121" t="s">
        <v>74</v>
      </c>
      <c r="R121" t="s">
        <v>53</v>
      </c>
      <c r="S121" t="s">
        <v>35</v>
      </c>
      <c r="T121" t="s">
        <v>82</v>
      </c>
      <c r="U121" t="s">
        <v>35</v>
      </c>
      <c r="V121" t="str">
        <f t="shared" si="5"/>
        <v>HHHC-S</v>
      </c>
      <c r="W121">
        <v>0</v>
      </c>
      <c r="Y121" t="str">
        <f t="shared" si="6"/>
        <v>K9Q6-Q</v>
      </c>
      <c r="AA121">
        <v>1</v>
      </c>
      <c r="AB121">
        <v>4</v>
      </c>
      <c r="AD121">
        <f t="shared" si="7"/>
        <v>5</v>
      </c>
      <c r="AE121">
        <v>50</v>
      </c>
    </row>
    <row r="122" spans="1:31" x14ac:dyDescent="0.35">
      <c r="A122" t="s">
        <v>90</v>
      </c>
      <c r="B122">
        <v>7</v>
      </c>
      <c r="D122" t="s">
        <v>93</v>
      </c>
      <c r="E122">
        <v>5</v>
      </c>
      <c r="F122" t="s">
        <v>82</v>
      </c>
      <c r="G122">
        <v>6</v>
      </c>
      <c r="H122" t="s">
        <v>55</v>
      </c>
      <c r="I122" t="s">
        <v>67</v>
      </c>
      <c r="J122">
        <v>2</v>
      </c>
      <c r="K122" t="s">
        <v>38</v>
      </c>
      <c r="L122" t="s">
        <v>71</v>
      </c>
      <c r="M122" t="s">
        <v>40</v>
      </c>
      <c r="N122" t="s">
        <v>55</v>
      </c>
      <c r="O122" t="s">
        <v>66</v>
      </c>
      <c r="P122" t="s">
        <v>86</v>
      </c>
      <c r="Q122" t="s">
        <v>65</v>
      </c>
      <c r="R122" t="s">
        <v>35</v>
      </c>
      <c r="S122" t="s">
        <v>73</v>
      </c>
      <c r="T122" t="s">
        <v>35</v>
      </c>
      <c r="U122" t="s">
        <v>35</v>
      </c>
      <c r="V122" t="str">
        <f t="shared" si="5"/>
        <v>DSHC-C</v>
      </c>
      <c r="W122">
        <v>0</v>
      </c>
      <c r="Y122" t="str">
        <f t="shared" si="6"/>
        <v>5JA9-Q</v>
      </c>
      <c r="AA122">
        <v>4</v>
      </c>
      <c r="AB122">
        <v>4</v>
      </c>
      <c r="AD122">
        <f t="shared" si="7"/>
        <v>8</v>
      </c>
      <c r="AE122">
        <v>58</v>
      </c>
    </row>
    <row r="123" spans="1:31" x14ac:dyDescent="0.35">
      <c r="A123" t="s">
        <v>23</v>
      </c>
      <c r="B123">
        <v>7</v>
      </c>
      <c r="D123" t="s">
        <v>93</v>
      </c>
      <c r="E123">
        <v>5</v>
      </c>
      <c r="F123" t="s">
        <v>43</v>
      </c>
      <c r="G123">
        <v>2</v>
      </c>
      <c r="H123" t="s">
        <v>28</v>
      </c>
      <c r="I123" t="s">
        <v>60</v>
      </c>
      <c r="J123">
        <v>4</v>
      </c>
      <c r="K123" t="s">
        <v>28</v>
      </c>
      <c r="L123" t="s">
        <v>71</v>
      </c>
      <c r="M123" t="s">
        <v>40</v>
      </c>
      <c r="N123" t="s">
        <v>55</v>
      </c>
      <c r="O123" t="s">
        <v>39</v>
      </c>
      <c r="P123" t="s">
        <v>69</v>
      </c>
      <c r="Q123" t="s">
        <v>35</v>
      </c>
      <c r="R123" t="s">
        <v>35</v>
      </c>
      <c r="S123" t="s">
        <v>81</v>
      </c>
      <c r="T123" t="s">
        <v>32</v>
      </c>
      <c r="U123" t="s">
        <v>35</v>
      </c>
      <c r="V123" t="str">
        <f t="shared" si="5"/>
        <v>SCCD-C</v>
      </c>
      <c r="W123">
        <v>0</v>
      </c>
      <c r="Y123" t="str">
        <f t="shared" si="6"/>
        <v>Q5JK-Q</v>
      </c>
      <c r="AA123">
        <v>3</v>
      </c>
      <c r="AB123">
        <v>16</v>
      </c>
      <c r="AC123">
        <v>2</v>
      </c>
      <c r="AD123">
        <f t="shared" si="7"/>
        <v>21</v>
      </c>
      <c r="AE123">
        <v>71</v>
      </c>
    </row>
    <row r="124" spans="1:31" x14ac:dyDescent="0.35">
      <c r="A124" t="s">
        <v>90</v>
      </c>
      <c r="B124">
        <v>7</v>
      </c>
      <c r="D124" t="s">
        <v>93</v>
      </c>
      <c r="E124">
        <v>6</v>
      </c>
      <c r="F124" t="s">
        <v>72</v>
      </c>
      <c r="G124">
        <v>3</v>
      </c>
      <c r="H124" t="s">
        <v>28</v>
      </c>
      <c r="I124" t="s">
        <v>43</v>
      </c>
      <c r="J124">
        <v>2</v>
      </c>
      <c r="K124" t="s">
        <v>28</v>
      </c>
      <c r="L124" t="s">
        <v>56</v>
      </c>
      <c r="M124">
        <v>8</v>
      </c>
      <c r="N124" t="s">
        <v>38</v>
      </c>
      <c r="O124" t="s">
        <v>84</v>
      </c>
      <c r="P124" t="s">
        <v>69</v>
      </c>
      <c r="Q124" t="s">
        <v>35</v>
      </c>
      <c r="R124" t="s">
        <v>78</v>
      </c>
      <c r="S124" t="s">
        <v>63</v>
      </c>
      <c r="T124" t="s">
        <v>35</v>
      </c>
      <c r="U124" t="s">
        <v>35</v>
      </c>
      <c r="V124" t="str">
        <f t="shared" si="5"/>
        <v>CCDS-D</v>
      </c>
      <c r="W124">
        <v>0</v>
      </c>
      <c r="Y124" t="str">
        <f t="shared" si="6"/>
        <v>105Q6-8</v>
      </c>
      <c r="AA124">
        <v>4</v>
      </c>
      <c r="AB124">
        <v>4</v>
      </c>
      <c r="AC124">
        <v>8</v>
      </c>
      <c r="AD124">
        <f t="shared" si="7"/>
        <v>16</v>
      </c>
      <c r="AE124">
        <v>74</v>
      </c>
    </row>
    <row r="125" spans="1:31" x14ac:dyDescent="0.35">
      <c r="A125" t="s">
        <v>23</v>
      </c>
      <c r="B125">
        <v>7</v>
      </c>
      <c r="D125" t="s">
        <v>93</v>
      </c>
      <c r="E125">
        <v>6</v>
      </c>
      <c r="F125" t="s">
        <v>33</v>
      </c>
      <c r="G125">
        <v>2</v>
      </c>
      <c r="H125" t="s">
        <v>55</v>
      </c>
      <c r="I125" t="s">
        <v>53</v>
      </c>
      <c r="J125" t="s">
        <v>40</v>
      </c>
      <c r="K125" t="s">
        <v>26</v>
      </c>
      <c r="L125" t="s">
        <v>56</v>
      </c>
      <c r="M125">
        <v>8</v>
      </c>
      <c r="N125" t="s">
        <v>38</v>
      </c>
      <c r="O125" t="s">
        <v>70</v>
      </c>
      <c r="P125" t="s">
        <v>68</v>
      </c>
      <c r="Q125" t="s">
        <v>35</v>
      </c>
      <c r="R125" t="s">
        <v>51</v>
      </c>
      <c r="S125" t="s">
        <v>50</v>
      </c>
      <c r="T125" t="s">
        <v>35</v>
      </c>
      <c r="U125" t="s">
        <v>35</v>
      </c>
      <c r="V125" t="str">
        <f t="shared" si="5"/>
        <v>SSDH-D</v>
      </c>
      <c r="W125">
        <v>0</v>
      </c>
      <c r="Y125" t="str">
        <f t="shared" si="6"/>
        <v>5966-8</v>
      </c>
      <c r="AA125">
        <v>9</v>
      </c>
      <c r="AB125">
        <v>6</v>
      </c>
      <c r="AD125">
        <f t="shared" si="7"/>
        <v>15</v>
      </c>
      <c r="AE125">
        <v>86</v>
      </c>
    </row>
    <row r="126" spans="1:31" x14ac:dyDescent="0.35">
      <c r="A126" t="s">
        <v>90</v>
      </c>
      <c r="B126">
        <v>7</v>
      </c>
      <c r="D126" t="s">
        <v>93</v>
      </c>
      <c r="E126">
        <v>7</v>
      </c>
      <c r="F126" t="s">
        <v>46</v>
      </c>
      <c r="G126" t="s">
        <v>47</v>
      </c>
      <c r="H126" t="s">
        <v>26</v>
      </c>
      <c r="I126" t="s">
        <v>44</v>
      </c>
      <c r="J126">
        <v>7</v>
      </c>
      <c r="K126" t="s">
        <v>26</v>
      </c>
      <c r="L126" t="s">
        <v>48</v>
      </c>
      <c r="M126">
        <v>1</v>
      </c>
      <c r="N126" t="s">
        <v>26</v>
      </c>
      <c r="O126" t="s">
        <v>71</v>
      </c>
      <c r="P126" t="s">
        <v>80</v>
      </c>
      <c r="Q126" t="s">
        <v>35</v>
      </c>
      <c r="R126" t="s">
        <v>65</v>
      </c>
      <c r="S126" t="s">
        <v>59</v>
      </c>
      <c r="T126" t="s">
        <v>35</v>
      </c>
      <c r="U126" t="s">
        <v>35</v>
      </c>
      <c r="V126" t="str">
        <f t="shared" si="5"/>
        <v>CCHD-H</v>
      </c>
      <c r="W126">
        <v>0</v>
      </c>
      <c r="Y126" t="str">
        <f t="shared" si="6"/>
        <v>Q4A4-10</v>
      </c>
      <c r="AA126">
        <v>6</v>
      </c>
      <c r="AB126">
        <v>10</v>
      </c>
      <c r="AC126">
        <v>0</v>
      </c>
      <c r="AD126">
        <f t="shared" si="7"/>
        <v>16</v>
      </c>
      <c r="AE126">
        <v>90</v>
      </c>
    </row>
    <row r="127" spans="1:31" x14ac:dyDescent="0.35">
      <c r="A127" t="s">
        <v>23</v>
      </c>
      <c r="B127">
        <v>7</v>
      </c>
      <c r="D127" t="s">
        <v>93</v>
      </c>
      <c r="E127">
        <v>7</v>
      </c>
      <c r="F127" t="s">
        <v>29</v>
      </c>
      <c r="G127" t="s">
        <v>30</v>
      </c>
      <c r="H127" t="s">
        <v>26</v>
      </c>
      <c r="I127" t="s">
        <v>81</v>
      </c>
      <c r="J127" t="s">
        <v>30</v>
      </c>
      <c r="K127" t="s">
        <v>55</v>
      </c>
      <c r="L127" t="s">
        <v>48</v>
      </c>
      <c r="M127">
        <v>1</v>
      </c>
      <c r="N127" t="s">
        <v>26</v>
      </c>
      <c r="O127" t="s">
        <v>64</v>
      </c>
      <c r="P127" t="s">
        <v>32</v>
      </c>
      <c r="Q127" t="s">
        <v>35</v>
      </c>
      <c r="R127" t="s">
        <v>85</v>
      </c>
      <c r="S127" t="s">
        <v>74</v>
      </c>
      <c r="T127" t="s">
        <v>35</v>
      </c>
      <c r="U127" t="s">
        <v>35</v>
      </c>
      <c r="V127" t="str">
        <f t="shared" si="5"/>
        <v>CDCH-H</v>
      </c>
      <c r="W127">
        <v>0</v>
      </c>
      <c r="Y127" t="str">
        <f t="shared" si="6"/>
        <v>7KA9-10</v>
      </c>
      <c r="AA127">
        <v>0</v>
      </c>
      <c r="AB127">
        <v>0</v>
      </c>
      <c r="AC127">
        <v>5</v>
      </c>
      <c r="AD127">
        <f t="shared" si="7"/>
        <v>5</v>
      </c>
      <c r="AE127">
        <v>91</v>
      </c>
    </row>
    <row r="128" spans="1:31" x14ac:dyDescent="0.35">
      <c r="A128" t="s">
        <v>90</v>
      </c>
      <c r="B128">
        <v>7</v>
      </c>
      <c r="D128" t="s">
        <v>93</v>
      </c>
      <c r="E128">
        <v>8</v>
      </c>
      <c r="F128" t="s">
        <v>54</v>
      </c>
      <c r="G128">
        <v>8</v>
      </c>
      <c r="H128" t="s">
        <v>55</v>
      </c>
      <c r="I128" t="s">
        <v>33</v>
      </c>
      <c r="J128">
        <v>2</v>
      </c>
      <c r="K128" t="s">
        <v>55</v>
      </c>
      <c r="L128" t="s">
        <v>52</v>
      </c>
      <c r="M128" t="s">
        <v>30</v>
      </c>
      <c r="N128" t="s">
        <v>38</v>
      </c>
      <c r="O128" t="s">
        <v>83</v>
      </c>
      <c r="P128" t="s">
        <v>62</v>
      </c>
      <c r="Q128" t="s">
        <v>80</v>
      </c>
      <c r="R128" t="s">
        <v>57</v>
      </c>
      <c r="S128" t="s">
        <v>35</v>
      </c>
      <c r="T128" t="s">
        <v>35</v>
      </c>
      <c r="U128" t="s">
        <v>35</v>
      </c>
      <c r="V128" t="str">
        <f t="shared" si="5"/>
        <v>CSCS-D</v>
      </c>
      <c r="W128">
        <v>0</v>
      </c>
      <c r="Y128" t="str">
        <f t="shared" si="6"/>
        <v>KK4A-J</v>
      </c>
      <c r="AA128">
        <v>2</v>
      </c>
      <c r="AB128">
        <v>8</v>
      </c>
      <c r="AC128">
        <v>2</v>
      </c>
      <c r="AD128">
        <f t="shared" si="7"/>
        <v>12</v>
      </c>
      <c r="AE128">
        <v>102</v>
      </c>
    </row>
    <row r="129" spans="1:31" x14ac:dyDescent="0.35">
      <c r="A129" t="s">
        <v>23</v>
      </c>
      <c r="B129">
        <v>7</v>
      </c>
      <c r="D129" t="s">
        <v>93</v>
      </c>
      <c r="E129">
        <v>8</v>
      </c>
      <c r="F129" t="s">
        <v>75</v>
      </c>
      <c r="G129">
        <v>8</v>
      </c>
      <c r="H129" t="s">
        <v>28</v>
      </c>
      <c r="I129" t="s">
        <v>34</v>
      </c>
      <c r="J129" t="s">
        <v>58</v>
      </c>
      <c r="K129" t="s">
        <v>38</v>
      </c>
      <c r="L129" t="s">
        <v>52</v>
      </c>
      <c r="M129" t="s">
        <v>30</v>
      </c>
      <c r="N129" t="s">
        <v>38</v>
      </c>
      <c r="O129" t="s">
        <v>66</v>
      </c>
      <c r="P129" t="s">
        <v>35</v>
      </c>
      <c r="Q129" t="s">
        <v>35</v>
      </c>
      <c r="R129" t="s">
        <v>35</v>
      </c>
      <c r="S129" t="s">
        <v>53</v>
      </c>
      <c r="T129" t="s">
        <v>86</v>
      </c>
      <c r="U129" t="s">
        <v>73</v>
      </c>
      <c r="V129" t="str">
        <f t="shared" si="5"/>
        <v>DHSC-D</v>
      </c>
      <c r="W129">
        <v>0</v>
      </c>
      <c r="Y129" t="str">
        <f t="shared" si="6"/>
        <v>5QJ9-J</v>
      </c>
      <c r="AA129">
        <v>2</v>
      </c>
      <c r="AB129">
        <v>8</v>
      </c>
      <c r="AD129">
        <f t="shared" si="7"/>
        <v>10</v>
      </c>
      <c r="AE129">
        <v>101</v>
      </c>
    </row>
    <row r="130" spans="1:31" x14ac:dyDescent="0.35">
      <c r="A130" t="s">
        <v>90</v>
      </c>
      <c r="B130">
        <v>7</v>
      </c>
      <c r="D130" t="s">
        <v>93</v>
      </c>
      <c r="E130">
        <v>9</v>
      </c>
      <c r="F130" t="s">
        <v>85</v>
      </c>
      <c r="G130" t="s">
        <v>58</v>
      </c>
      <c r="H130" t="s">
        <v>55</v>
      </c>
      <c r="I130" t="s">
        <v>39</v>
      </c>
      <c r="J130" t="s">
        <v>40</v>
      </c>
      <c r="K130" t="s">
        <v>28</v>
      </c>
      <c r="L130" t="s">
        <v>63</v>
      </c>
      <c r="M130">
        <v>6</v>
      </c>
      <c r="N130" t="s">
        <v>28</v>
      </c>
      <c r="O130" t="s">
        <v>62</v>
      </c>
      <c r="P130" t="s">
        <v>35</v>
      </c>
      <c r="Q130" t="s">
        <v>35</v>
      </c>
      <c r="R130" t="s">
        <v>73</v>
      </c>
      <c r="S130" t="s">
        <v>46</v>
      </c>
      <c r="T130" t="s">
        <v>35</v>
      </c>
      <c r="U130" t="s">
        <v>74</v>
      </c>
      <c r="V130" t="str">
        <f t="shared" si="5"/>
        <v>SCHH-S</v>
      </c>
      <c r="W130">
        <v>0</v>
      </c>
      <c r="Y130" t="str">
        <f t="shared" si="6"/>
        <v>K9K9-6</v>
      </c>
      <c r="AA130">
        <v>2</v>
      </c>
      <c r="AB130">
        <v>8</v>
      </c>
      <c r="AD130">
        <f t="shared" si="7"/>
        <v>10</v>
      </c>
      <c r="AE130">
        <v>112</v>
      </c>
    </row>
    <row r="131" spans="1:31" x14ac:dyDescent="0.35">
      <c r="A131" t="s">
        <v>23</v>
      </c>
      <c r="B131">
        <v>7</v>
      </c>
      <c r="D131" t="s">
        <v>93</v>
      </c>
      <c r="E131">
        <v>9</v>
      </c>
      <c r="F131" t="s">
        <v>84</v>
      </c>
      <c r="G131">
        <v>1</v>
      </c>
      <c r="H131" t="s">
        <v>55</v>
      </c>
      <c r="I131" t="s">
        <v>56</v>
      </c>
      <c r="J131">
        <v>8</v>
      </c>
      <c r="K131" t="s">
        <v>38</v>
      </c>
      <c r="L131" t="s">
        <v>63</v>
      </c>
      <c r="M131">
        <v>6</v>
      </c>
      <c r="N131" t="s">
        <v>28</v>
      </c>
      <c r="O131" t="s">
        <v>80</v>
      </c>
      <c r="P131" t="s">
        <v>83</v>
      </c>
      <c r="Q131" t="s">
        <v>49</v>
      </c>
      <c r="R131" t="s">
        <v>35</v>
      </c>
      <c r="S131" t="s">
        <v>71</v>
      </c>
      <c r="T131" t="s">
        <v>35</v>
      </c>
      <c r="U131" t="s">
        <v>35</v>
      </c>
      <c r="V131" t="str">
        <f t="shared" ref="V131:V194" si="8">SUBSTITUTE(_xlfn.CONCAT(RIGHT(O131,1),RIGHT(P131,1),RIGHT(Q131,1),RIGHT(R131,1),RIGHT(S131,1),RIGHT(T131,1),RIGHT(U131,1),"-",N131),"O","")</f>
        <v>CCCC-S</v>
      </c>
      <c r="W131">
        <v>4</v>
      </c>
      <c r="X131">
        <v>0</v>
      </c>
      <c r="Y131" t="str">
        <f t="shared" ref="Y131:Y194" si="9">SUBSTITUTE(SUBSTITUTE(_xlfn.CONCAT(LEFT(O131,1),LEFT(P131,1),LEFT(Q131,1),LEFT(R131,1),LEFT(S131,1),LEFT(T131,1),LEFT(U131,1),"-",M131),"G",""),"1","10")</f>
        <v>4K3Q-6</v>
      </c>
      <c r="AA131">
        <v>3</v>
      </c>
      <c r="AB131">
        <v>4</v>
      </c>
      <c r="AC131">
        <v>2</v>
      </c>
      <c r="AD131">
        <f t="shared" ref="AD131:AD194" si="10">AA131+AB131+AC131</f>
        <v>9</v>
      </c>
      <c r="AE131">
        <v>110</v>
      </c>
    </row>
    <row r="132" spans="1:31" x14ac:dyDescent="0.35">
      <c r="A132" t="s">
        <v>90</v>
      </c>
      <c r="B132">
        <v>7</v>
      </c>
      <c r="D132" t="s">
        <v>93</v>
      </c>
      <c r="E132">
        <v>10</v>
      </c>
      <c r="F132" t="s">
        <v>65</v>
      </c>
      <c r="G132" t="s">
        <v>58</v>
      </c>
      <c r="H132" t="s">
        <v>26</v>
      </c>
      <c r="I132" t="s">
        <v>43</v>
      </c>
      <c r="J132">
        <v>2</v>
      </c>
      <c r="K132" t="s">
        <v>28</v>
      </c>
      <c r="L132" t="s">
        <v>75</v>
      </c>
      <c r="M132">
        <v>8</v>
      </c>
      <c r="N132" t="s">
        <v>28</v>
      </c>
      <c r="O132" t="s">
        <v>51</v>
      </c>
      <c r="P132" t="s">
        <v>69</v>
      </c>
      <c r="Q132" t="s">
        <v>63</v>
      </c>
      <c r="R132" t="s">
        <v>35</v>
      </c>
      <c r="S132" t="s">
        <v>35</v>
      </c>
      <c r="T132" t="s">
        <v>52</v>
      </c>
      <c r="U132" t="s">
        <v>35</v>
      </c>
      <c r="V132" t="str">
        <f t="shared" si="8"/>
        <v>DCSD-S</v>
      </c>
      <c r="W132">
        <v>0</v>
      </c>
      <c r="Y132" t="str">
        <f t="shared" si="9"/>
        <v>656J-8</v>
      </c>
      <c r="AA132">
        <v>9</v>
      </c>
      <c r="AB132">
        <v>4</v>
      </c>
      <c r="AC132">
        <v>2</v>
      </c>
      <c r="AD132">
        <f t="shared" si="10"/>
        <v>15</v>
      </c>
      <c r="AE132">
        <v>121</v>
      </c>
    </row>
    <row r="133" spans="1:31" x14ac:dyDescent="0.35">
      <c r="A133" t="s">
        <v>23</v>
      </c>
      <c r="B133">
        <v>7</v>
      </c>
      <c r="D133" t="s">
        <v>93</v>
      </c>
      <c r="E133">
        <v>10</v>
      </c>
      <c r="F133" t="s">
        <v>50</v>
      </c>
      <c r="G133">
        <v>6</v>
      </c>
      <c r="H133" t="s">
        <v>26</v>
      </c>
      <c r="I133" t="s">
        <v>39</v>
      </c>
      <c r="J133" t="s">
        <v>40</v>
      </c>
      <c r="K133" t="s">
        <v>28</v>
      </c>
      <c r="L133" t="s">
        <v>75</v>
      </c>
      <c r="M133">
        <v>8</v>
      </c>
      <c r="N133" t="s">
        <v>28</v>
      </c>
      <c r="O133" t="s">
        <v>42</v>
      </c>
      <c r="P133" t="s">
        <v>31</v>
      </c>
      <c r="Q133" t="s">
        <v>41</v>
      </c>
      <c r="R133" t="s">
        <v>85</v>
      </c>
      <c r="S133" t="s">
        <v>35</v>
      </c>
      <c r="T133" t="s">
        <v>35</v>
      </c>
      <c r="U133" t="s">
        <v>35</v>
      </c>
      <c r="V133" t="str">
        <f t="shared" si="8"/>
        <v>HDHC-S</v>
      </c>
      <c r="W133">
        <v>0</v>
      </c>
      <c r="Y133" t="str">
        <f t="shared" si="9"/>
        <v>433A-8</v>
      </c>
      <c r="AA133">
        <v>5</v>
      </c>
      <c r="AB133">
        <v>4</v>
      </c>
      <c r="AD133">
        <f t="shared" si="10"/>
        <v>9</v>
      </c>
      <c r="AE133">
        <v>114</v>
      </c>
    </row>
    <row r="134" spans="1:31" x14ac:dyDescent="0.35">
      <c r="A134" t="s">
        <v>90</v>
      </c>
      <c r="B134">
        <v>8</v>
      </c>
      <c r="D134" t="s">
        <v>94</v>
      </c>
      <c r="E134">
        <v>1</v>
      </c>
      <c r="F134" t="s">
        <v>82</v>
      </c>
      <c r="G134">
        <v>6</v>
      </c>
      <c r="H134" t="s">
        <v>55</v>
      </c>
      <c r="I134" t="s">
        <v>27</v>
      </c>
      <c r="J134">
        <v>7</v>
      </c>
      <c r="K134" t="s">
        <v>28</v>
      </c>
      <c r="L134" t="s">
        <v>60</v>
      </c>
      <c r="M134">
        <v>4</v>
      </c>
      <c r="N134" t="s">
        <v>28</v>
      </c>
      <c r="O134" t="s">
        <v>81</v>
      </c>
      <c r="P134" t="s">
        <v>42</v>
      </c>
      <c r="Q134" t="s">
        <v>35</v>
      </c>
      <c r="R134" t="s">
        <v>62</v>
      </c>
      <c r="S134" t="s">
        <v>86</v>
      </c>
      <c r="T134" t="s">
        <v>35</v>
      </c>
      <c r="U134" t="s">
        <v>35</v>
      </c>
      <c r="V134" t="str">
        <f t="shared" si="8"/>
        <v>CHSS-S</v>
      </c>
      <c r="W134">
        <v>0</v>
      </c>
      <c r="Y134" t="str">
        <f t="shared" si="9"/>
        <v>J4KJ-4</v>
      </c>
      <c r="AA134">
        <v>4</v>
      </c>
      <c r="AB134">
        <v>5</v>
      </c>
      <c r="AD134">
        <f t="shared" si="10"/>
        <v>9</v>
      </c>
      <c r="AE134">
        <v>9</v>
      </c>
    </row>
    <row r="135" spans="1:31" x14ac:dyDescent="0.35">
      <c r="A135" t="s">
        <v>23</v>
      </c>
      <c r="B135">
        <v>8</v>
      </c>
      <c r="D135" t="s">
        <v>94</v>
      </c>
      <c r="E135">
        <v>1</v>
      </c>
      <c r="F135" t="s">
        <v>44</v>
      </c>
      <c r="G135">
        <v>7</v>
      </c>
      <c r="H135" t="s">
        <v>26</v>
      </c>
      <c r="I135" t="s">
        <v>73</v>
      </c>
      <c r="J135">
        <v>9</v>
      </c>
      <c r="K135" t="s">
        <v>55</v>
      </c>
      <c r="L135" t="s">
        <v>60</v>
      </c>
      <c r="M135">
        <v>4</v>
      </c>
      <c r="N135" t="s">
        <v>28</v>
      </c>
      <c r="O135" t="s">
        <v>79</v>
      </c>
      <c r="P135" t="s">
        <v>51</v>
      </c>
      <c r="Q135" t="s">
        <v>35</v>
      </c>
      <c r="R135" t="s">
        <v>69</v>
      </c>
      <c r="S135" t="s">
        <v>66</v>
      </c>
      <c r="T135" t="s">
        <v>35</v>
      </c>
      <c r="U135" t="s">
        <v>35</v>
      </c>
      <c r="V135" t="str">
        <f t="shared" si="8"/>
        <v>DDCD-S</v>
      </c>
      <c r="W135">
        <v>0</v>
      </c>
      <c r="Y135" t="str">
        <f t="shared" si="9"/>
        <v>7655-4</v>
      </c>
      <c r="AA135">
        <v>0</v>
      </c>
      <c r="AB135">
        <v>14</v>
      </c>
      <c r="AC135">
        <v>4</v>
      </c>
      <c r="AD135">
        <f t="shared" si="10"/>
        <v>18</v>
      </c>
      <c r="AE135">
        <v>18</v>
      </c>
    </row>
    <row r="136" spans="1:31" x14ac:dyDescent="0.35">
      <c r="A136" t="s">
        <v>90</v>
      </c>
      <c r="B136">
        <v>8</v>
      </c>
      <c r="D136" t="s">
        <v>94</v>
      </c>
      <c r="E136">
        <v>2</v>
      </c>
      <c r="F136" t="s">
        <v>57</v>
      </c>
      <c r="G136" t="s">
        <v>58</v>
      </c>
      <c r="H136" t="s">
        <v>28</v>
      </c>
      <c r="I136" t="s">
        <v>59</v>
      </c>
      <c r="J136">
        <v>4</v>
      </c>
      <c r="K136" t="s">
        <v>38</v>
      </c>
      <c r="L136" t="s">
        <v>67</v>
      </c>
      <c r="M136">
        <v>2</v>
      </c>
      <c r="N136" t="s">
        <v>38</v>
      </c>
      <c r="O136" t="s">
        <v>61</v>
      </c>
      <c r="P136" t="s">
        <v>54</v>
      </c>
      <c r="Q136" t="s">
        <v>35</v>
      </c>
      <c r="R136" t="s">
        <v>73</v>
      </c>
      <c r="S136" t="s">
        <v>75</v>
      </c>
      <c r="T136" t="s">
        <v>35</v>
      </c>
      <c r="U136" t="s">
        <v>35</v>
      </c>
      <c r="V136" t="str">
        <f t="shared" si="8"/>
        <v>DCCS-D</v>
      </c>
      <c r="W136">
        <v>0</v>
      </c>
      <c r="Y136" t="str">
        <f t="shared" si="9"/>
        <v>10898-2</v>
      </c>
      <c r="AA136">
        <v>0</v>
      </c>
      <c r="AB136">
        <v>8</v>
      </c>
      <c r="AC136">
        <v>8</v>
      </c>
      <c r="AD136">
        <f t="shared" si="10"/>
        <v>16</v>
      </c>
      <c r="AE136">
        <v>25</v>
      </c>
    </row>
    <row r="137" spans="1:31" x14ac:dyDescent="0.35">
      <c r="A137" t="s">
        <v>23</v>
      </c>
      <c r="B137">
        <v>8</v>
      </c>
      <c r="D137" t="s">
        <v>94</v>
      </c>
      <c r="E137">
        <v>2</v>
      </c>
      <c r="F137" t="s">
        <v>41</v>
      </c>
      <c r="G137">
        <v>3</v>
      </c>
      <c r="H137" t="s">
        <v>26</v>
      </c>
      <c r="I137" t="s">
        <v>56</v>
      </c>
      <c r="J137">
        <v>8</v>
      </c>
      <c r="K137" t="s">
        <v>38</v>
      </c>
      <c r="L137" t="s">
        <v>67</v>
      </c>
      <c r="M137">
        <v>2</v>
      </c>
      <c r="N137" t="s">
        <v>38</v>
      </c>
      <c r="O137" t="s">
        <v>69</v>
      </c>
      <c r="P137" t="s">
        <v>82</v>
      </c>
      <c r="Q137" t="s">
        <v>35</v>
      </c>
      <c r="R137" t="s">
        <v>51</v>
      </c>
      <c r="S137" t="s">
        <v>63</v>
      </c>
      <c r="T137" t="s">
        <v>35</v>
      </c>
      <c r="U137" t="s">
        <v>35</v>
      </c>
      <c r="V137" t="str">
        <f t="shared" si="8"/>
        <v>CCDS-D</v>
      </c>
      <c r="W137">
        <v>0</v>
      </c>
      <c r="Y137" t="str">
        <f t="shared" si="9"/>
        <v>5666-2</v>
      </c>
      <c r="AA137">
        <v>6</v>
      </c>
      <c r="AB137">
        <v>6</v>
      </c>
      <c r="AD137">
        <f t="shared" si="10"/>
        <v>12</v>
      </c>
      <c r="AE137">
        <v>30</v>
      </c>
    </row>
    <row r="138" spans="1:31" x14ac:dyDescent="0.35">
      <c r="A138" t="s">
        <v>90</v>
      </c>
      <c r="B138">
        <v>8</v>
      </c>
      <c r="D138" t="s">
        <v>94</v>
      </c>
      <c r="E138">
        <v>3</v>
      </c>
      <c r="F138" t="s">
        <v>85</v>
      </c>
      <c r="G138" t="s">
        <v>58</v>
      </c>
      <c r="H138" t="s">
        <v>55</v>
      </c>
      <c r="I138" t="s">
        <v>63</v>
      </c>
      <c r="J138">
        <v>6</v>
      </c>
      <c r="K138" t="s">
        <v>28</v>
      </c>
      <c r="L138" t="s">
        <v>67</v>
      </c>
      <c r="M138">
        <v>2</v>
      </c>
      <c r="N138" t="s">
        <v>38</v>
      </c>
      <c r="O138" t="s">
        <v>53</v>
      </c>
      <c r="P138" t="s">
        <v>86</v>
      </c>
      <c r="Q138" t="s">
        <v>35</v>
      </c>
      <c r="R138" t="s">
        <v>81</v>
      </c>
      <c r="S138" t="s">
        <v>35</v>
      </c>
      <c r="T138" t="s">
        <v>61</v>
      </c>
      <c r="U138" t="s">
        <v>35</v>
      </c>
      <c r="V138" t="str">
        <f t="shared" si="8"/>
        <v>HSCD-D</v>
      </c>
      <c r="W138">
        <v>0</v>
      </c>
      <c r="Y138" t="str">
        <f t="shared" si="9"/>
        <v>QJJ10-2</v>
      </c>
      <c r="AA138">
        <v>2</v>
      </c>
      <c r="AB138">
        <v>8</v>
      </c>
      <c r="AD138">
        <f t="shared" si="10"/>
        <v>10</v>
      </c>
      <c r="AE138">
        <v>35</v>
      </c>
    </row>
    <row r="139" spans="1:31" x14ac:dyDescent="0.35">
      <c r="A139" t="s">
        <v>23</v>
      </c>
      <c r="B139">
        <v>8</v>
      </c>
      <c r="D139" t="s">
        <v>94</v>
      </c>
      <c r="E139">
        <v>3</v>
      </c>
      <c r="F139" t="s">
        <v>65</v>
      </c>
      <c r="G139" t="s">
        <v>58</v>
      </c>
      <c r="H139" t="s">
        <v>26</v>
      </c>
      <c r="I139" t="s">
        <v>29</v>
      </c>
      <c r="J139" t="s">
        <v>30</v>
      </c>
      <c r="K139" t="s">
        <v>26</v>
      </c>
      <c r="L139" t="s">
        <v>67</v>
      </c>
      <c r="M139">
        <v>2</v>
      </c>
      <c r="N139" t="s">
        <v>38</v>
      </c>
      <c r="O139" t="s">
        <v>80</v>
      </c>
      <c r="P139" t="s">
        <v>31</v>
      </c>
      <c r="Q139" t="s">
        <v>35</v>
      </c>
      <c r="R139" t="s">
        <v>79</v>
      </c>
      <c r="S139" t="s">
        <v>51</v>
      </c>
      <c r="T139" t="s">
        <v>35</v>
      </c>
      <c r="U139" t="s">
        <v>35</v>
      </c>
      <c r="V139" t="str">
        <f t="shared" si="8"/>
        <v>CDDD-D</v>
      </c>
      <c r="W139">
        <v>4</v>
      </c>
      <c r="X139">
        <v>0</v>
      </c>
      <c r="Y139" t="str">
        <f t="shared" si="9"/>
        <v>4376-2</v>
      </c>
      <c r="AA139">
        <v>1</v>
      </c>
      <c r="AB139">
        <v>11</v>
      </c>
      <c r="AC139">
        <v>2</v>
      </c>
      <c r="AD139">
        <f t="shared" si="10"/>
        <v>14</v>
      </c>
      <c r="AE139">
        <v>44</v>
      </c>
    </row>
    <row r="140" spans="1:31" x14ac:dyDescent="0.35">
      <c r="A140" t="s">
        <v>90</v>
      </c>
      <c r="B140">
        <v>8</v>
      </c>
      <c r="D140" t="s">
        <v>94</v>
      </c>
      <c r="E140">
        <v>4</v>
      </c>
      <c r="F140" t="s">
        <v>74</v>
      </c>
      <c r="G140">
        <v>9</v>
      </c>
      <c r="H140" t="s">
        <v>26</v>
      </c>
      <c r="I140" t="s">
        <v>68</v>
      </c>
      <c r="J140">
        <v>9</v>
      </c>
      <c r="K140" t="s">
        <v>28</v>
      </c>
      <c r="L140" t="s">
        <v>42</v>
      </c>
      <c r="M140">
        <v>4</v>
      </c>
      <c r="N140" t="s">
        <v>26</v>
      </c>
      <c r="O140" t="s">
        <v>48</v>
      </c>
      <c r="P140" t="s">
        <v>67</v>
      </c>
      <c r="Q140" t="s">
        <v>43</v>
      </c>
      <c r="R140" t="s">
        <v>57</v>
      </c>
      <c r="S140" t="s">
        <v>35</v>
      </c>
      <c r="T140" t="s">
        <v>35</v>
      </c>
      <c r="U140" t="s">
        <v>35</v>
      </c>
      <c r="V140" t="str">
        <f t="shared" si="8"/>
        <v>HDSS-H</v>
      </c>
      <c r="W140">
        <v>0</v>
      </c>
      <c r="Y140" t="str">
        <f t="shared" si="9"/>
        <v>1022A-4</v>
      </c>
      <c r="AA140">
        <v>8</v>
      </c>
      <c r="AB140">
        <v>6</v>
      </c>
      <c r="AC140">
        <v>6</v>
      </c>
      <c r="AD140">
        <f t="shared" si="10"/>
        <v>20</v>
      </c>
      <c r="AE140">
        <v>55</v>
      </c>
    </row>
    <row r="141" spans="1:31" x14ac:dyDescent="0.35">
      <c r="A141" t="s">
        <v>23</v>
      </c>
      <c r="B141">
        <v>8</v>
      </c>
      <c r="D141" t="s">
        <v>94</v>
      </c>
      <c r="E141">
        <v>4</v>
      </c>
      <c r="F141" t="s">
        <v>63</v>
      </c>
      <c r="G141">
        <v>6</v>
      </c>
      <c r="H141" t="s">
        <v>28</v>
      </c>
      <c r="I141" t="s">
        <v>64</v>
      </c>
      <c r="J141">
        <v>7</v>
      </c>
      <c r="K141" t="s">
        <v>55</v>
      </c>
      <c r="L141" t="s">
        <v>42</v>
      </c>
      <c r="M141">
        <v>4</v>
      </c>
      <c r="N141" t="s">
        <v>26</v>
      </c>
      <c r="O141" t="s">
        <v>78</v>
      </c>
      <c r="P141" t="s">
        <v>33</v>
      </c>
      <c r="Q141" t="s">
        <v>60</v>
      </c>
      <c r="R141" t="s">
        <v>35</v>
      </c>
      <c r="S141" t="s">
        <v>49</v>
      </c>
      <c r="T141" t="s">
        <v>35</v>
      </c>
      <c r="U141" t="s">
        <v>35</v>
      </c>
      <c r="V141" t="str">
        <f t="shared" si="8"/>
        <v>DCSC-H</v>
      </c>
      <c r="W141">
        <v>0</v>
      </c>
      <c r="Y141" t="str">
        <f t="shared" si="9"/>
        <v>Q243-4</v>
      </c>
      <c r="AA141">
        <v>3</v>
      </c>
      <c r="AB141">
        <v>10</v>
      </c>
      <c r="AD141">
        <f t="shared" si="10"/>
        <v>13</v>
      </c>
      <c r="AE141">
        <v>57</v>
      </c>
    </row>
    <row r="142" spans="1:31" x14ac:dyDescent="0.35">
      <c r="A142" t="s">
        <v>90</v>
      </c>
      <c r="B142">
        <v>8</v>
      </c>
      <c r="D142" t="s">
        <v>94</v>
      </c>
      <c r="E142">
        <v>5</v>
      </c>
      <c r="F142" t="s">
        <v>44</v>
      </c>
      <c r="G142">
        <v>7</v>
      </c>
      <c r="H142" t="s">
        <v>26</v>
      </c>
      <c r="I142" t="s">
        <v>50</v>
      </c>
      <c r="J142">
        <v>6</v>
      </c>
      <c r="K142" t="s">
        <v>26</v>
      </c>
      <c r="L142" t="s">
        <v>42</v>
      </c>
      <c r="M142">
        <v>4</v>
      </c>
      <c r="N142" t="s">
        <v>26</v>
      </c>
      <c r="O142" t="s">
        <v>81</v>
      </c>
      <c r="P142" t="s">
        <v>33</v>
      </c>
      <c r="Q142" t="s">
        <v>57</v>
      </c>
      <c r="R142" t="s">
        <v>35</v>
      </c>
      <c r="S142" t="s">
        <v>32</v>
      </c>
      <c r="T142" t="s">
        <v>35</v>
      </c>
      <c r="U142" t="s">
        <v>35</v>
      </c>
      <c r="V142" t="str">
        <f t="shared" si="8"/>
        <v>CCSD-H</v>
      </c>
      <c r="W142">
        <v>0</v>
      </c>
      <c r="Y142" t="str">
        <f t="shared" si="9"/>
        <v>J2AK-4</v>
      </c>
      <c r="AA142">
        <v>4</v>
      </c>
      <c r="AB142">
        <v>4</v>
      </c>
      <c r="AD142">
        <f t="shared" si="10"/>
        <v>8</v>
      </c>
      <c r="AE142">
        <v>63</v>
      </c>
    </row>
    <row r="143" spans="1:31" x14ac:dyDescent="0.35">
      <c r="A143" t="s">
        <v>23</v>
      </c>
      <c r="B143">
        <v>8</v>
      </c>
      <c r="D143" t="s">
        <v>94</v>
      </c>
      <c r="E143">
        <v>5</v>
      </c>
      <c r="F143" t="s">
        <v>51</v>
      </c>
      <c r="G143">
        <v>6</v>
      </c>
      <c r="H143" t="s">
        <v>38</v>
      </c>
      <c r="I143" t="s">
        <v>61</v>
      </c>
      <c r="J143">
        <v>1</v>
      </c>
      <c r="K143" t="s">
        <v>38</v>
      </c>
      <c r="L143" t="s">
        <v>42</v>
      </c>
      <c r="M143">
        <v>4</v>
      </c>
      <c r="N143" t="s">
        <v>26</v>
      </c>
      <c r="O143" t="s">
        <v>80</v>
      </c>
      <c r="P143" t="s">
        <v>86</v>
      </c>
      <c r="Q143" t="s">
        <v>34</v>
      </c>
      <c r="R143" t="s">
        <v>35</v>
      </c>
      <c r="S143" t="s">
        <v>52</v>
      </c>
      <c r="T143" t="s">
        <v>35</v>
      </c>
      <c r="U143" t="s">
        <v>35</v>
      </c>
      <c r="V143" t="str">
        <f t="shared" si="8"/>
        <v>CSDD-H</v>
      </c>
      <c r="W143">
        <v>0</v>
      </c>
      <c r="Y143" t="str">
        <f t="shared" si="9"/>
        <v>4JAJ-4</v>
      </c>
      <c r="AA143">
        <v>2</v>
      </c>
      <c r="AB143">
        <v>12</v>
      </c>
      <c r="AC143">
        <v>2</v>
      </c>
      <c r="AD143">
        <f t="shared" si="10"/>
        <v>16</v>
      </c>
      <c r="AE143">
        <v>73</v>
      </c>
    </row>
    <row r="144" spans="1:31" x14ac:dyDescent="0.35">
      <c r="A144" t="s">
        <v>90</v>
      </c>
      <c r="B144">
        <v>8</v>
      </c>
      <c r="D144" t="s">
        <v>94</v>
      </c>
      <c r="E144">
        <v>6</v>
      </c>
      <c r="F144" t="s">
        <v>83</v>
      </c>
      <c r="G144" t="s">
        <v>47</v>
      </c>
      <c r="H144" t="s">
        <v>55</v>
      </c>
      <c r="I144" t="s">
        <v>67</v>
      </c>
      <c r="J144">
        <v>2</v>
      </c>
      <c r="K144" t="s">
        <v>38</v>
      </c>
      <c r="L144" t="s">
        <v>85</v>
      </c>
      <c r="M144" t="s">
        <v>58</v>
      </c>
      <c r="N144" t="s">
        <v>55</v>
      </c>
      <c r="O144" t="s">
        <v>27</v>
      </c>
      <c r="P144" t="s">
        <v>73</v>
      </c>
      <c r="Q144" t="s">
        <v>35</v>
      </c>
      <c r="R144" t="s">
        <v>48</v>
      </c>
      <c r="S144" t="s">
        <v>45</v>
      </c>
      <c r="T144" t="s">
        <v>35</v>
      </c>
      <c r="U144" t="s">
        <v>35</v>
      </c>
      <c r="V144" t="str">
        <f t="shared" si="8"/>
        <v>SCHH-C</v>
      </c>
      <c r="W144">
        <v>0</v>
      </c>
      <c r="Y144" t="str">
        <f t="shared" si="9"/>
        <v>79108-A</v>
      </c>
      <c r="AA144">
        <v>3</v>
      </c>
      <c r="AB144">
        <v>6</v>
      </c>
      <c r="AC144">
        <v>2</v>
      </c>
      <c r="AD144">
        <f t="shared" si="10"/>
        <v>11</v>
      </c>
      <c r="AE144">
        <v>74</v>
      </c>
    </row>
    <row r="145" spans="1:31" x14ac:dyDescent="0.35">
      <c r="A145" t="s">
        <v>23</v>
      </c>
      <c r="B145">
        <v>8</v>
      </c>
      <c r="D145" t="s">
        <v>94</v>
      </c>
      <c r="E145">
        <v>6</v>
      </c>
      <c r="F145" t="s">
        <v>65</v>
      </c>
      <c r="G145" t="s">
        <v>58</v>
      </c>
      <c r="H145" t="s">
        <v>26</v>
      </c>
      <c r="I145" t="s">
        <v>61</v>
      </c>
      <c r="J145">
        <v>1</v>
      </c>
      <c r="K145" t="s">
        <v>38</v>
      </c>
      <c r="L145" t="s">
        <v>85</v>
      </c>
      <c r="M145" t="s">
        <v>58</v>
      </c>
      <c r="N145" t="s">
        <v>55</v>
      </c>
      <c r="O145" t="s">
        <v>56</v>
      </c>
      <c r="P145" t="s">
        <v>51</v>
      </c>
      <c r="Q145" t="s">
        <v>35</v>
      </c>
      <c r="R145" t="s">
        <v>69</v>
      </c>
      <c r="S145" t="s">
        <v>44</v>
      </c>
      <c r="T145" t="s">
        <v>35</v>
      </c>
      <c r="U145" t="s">
        <v>35</v>
      </c>
      <c r="V145" t="str">
        <f t="shared" si="8"/>
        <v>DDCH-C</v>
      </c>
      <c r="W145">
        <v>0</v>
      </c>
      <c r="Y145" t="str">
        <f t="shared" si="9"/>
        <v>8657-A</v>
      </c>
      <c r="AA145">
        <v>10</v>
      </c>
      <c r="AB145">
        <v>8</v>
      </c>
      <c r="AD145">
        <f t="shared" si="10"/>
        <v>18</v>
      </c>
      <c r="AE145">
        <v>91</v>
      </c>
    </row>
    <row r="146" spans="1:31" x14ac:dyDescent="0.35">
      <c r="A146" t="s">
        <v>90</v>
      </c>
      <c r="B146">
        <v>8</v>
      </c>
      <c r="D146" t="s">
        <v>94</v>
      </c>
      <c r="E146">
        <v>7</v>
      </c>
      <c r="F146" t="s">
        <v>65</v>
      </c>
      <c r="G146" t="s">
        <v>58</v>
      </c>
      <c r="H146" t="s">
        <v>26</v>
      </c>
      <c r="I146" t="s">
        <v>67</v>
      </c>
      <c r="J146">
        <v>2</v>
      </c>
      <c r="K146" t="s">
        <v>38</v>
      </c>
      <c r="L146" t="s">
        <v>33</v>
      </c>
      <c r="M146">
        <v>2</v>
      </c>
      <c r="N146" t="s">
        <v>55</v>
      </c>
      <c r="O146" t="s">
        <v>61</v>
      </c>
      <c r="P146" t="s">
        <v>35</v>
      </c>
      <c r="Q146" t="s">
        <v>48</v>
      </c>
      <c r="R146" t="s">
        <v>56</v>
      </c>
      <c r="S146" t="s">
        <v>35</v>
      </c>
      <c r="T146" t="s">
        <v>64</v>
      </c>
      <c r="U146" t="s">
        <v>35</v>
      </c>
      <c r="V146" t="str">
        <f t="shared" si="8"/>
        <v>DHDC-C</v>
      </c>
      <c r="W146">
        <v>0</v>
      </c>
      <c r="Y146" t="str">
        <f t="shared" si="9"/>
        <v>101087-2</v>
      </c>
      <c r="AA146">
        <v>3</v>
      </c>
      <c r="AB146">
        <v>4</v>
      </c>
      <c r="AD146">
        <f t="shared" si="10"/>
        <v>7</v>
      </c>
      <c r="AE146">
        <v>81</v>
      </c>
    </row>
    <row r="147" spans="1:31" x14ac:dyDescent="0.35">
      <c r="A147" t="s">
        <v>23</v>
      </c>
      <c r="B147">
        <v>8</v>
      </c>
      <c r="D147" t="s">
        <v>94</v>
      </c>
      <c r="E147">
        <v>7</v>
      </c>
      <c r="F147" t="s">
        <v>80</v>
      </c>
      <c r="G147">
        <v>4</v>
      </c>
      <c r="H147" t="s">
        <v>55</v>
      </c>
      <c r="I147" t="s">
        <v>63</v>
      </c>
      <c r="J147">
        <v>6</v>
      </c>
      <c r="K147" t="s">
        <v>28</v>
      </c>
      <c r="L147" t="s">
        <v>33</v>
      </c>
      <c r="M147">
        <v>2</v>
      </c>
      <c r="N147" t="s">
        <v>55</v>
      </c>
      <c r="O147" t="s">
        <v>84</v>
      </c>
      <c r="P147" t="s">
        <v>86</v>
      </c>
      <c r="Q147" t="s">
        <v>35</v>
      </c>
      <c r="R147" t="s">
        <v>83</v>
      </c>
      <c r="S147" t="s">
        <v>35</v>
      </c>
      <c r="T147" t="s">
        <v>45</v>
      </c>
      <c r="U147" t="s">
        <v>35</v>
      </c>
      <c r="V147" t="str">
        <f t="shared" si="8"/>
        <v>CSCH-C</v>
      </c>
      <c r="W147">
        <v>0</v>
      </c>
      <c r="Y147" t="str">
        <f t="shared" si="9"/>
        <v>10JK8-2</v>
      </c>
      <c r="AA147">
        <v>1</v>
      </c>
      <c r="AB147">
        <v>0</v>
      </c>
      <c r="AC147">
        <v>4</v>
      </c>
      <c r="AD147">
        <f t="shared" si="10"/>
        <v>5</v>
      </c>
      <c r="AE147">
        <v>96</v>
      </c>
    </row>
    <row r="148" spans="1:31" x14ac:dyDescent="0.35">
      <c r="A148" t="s">
        <v>90</v>
      </c>
      <c r="B148">
        <v>8</v>
      </c>
      <c r="D148" t="s">
        <v>94</v>
      </c>
      <c r="E148">
        <v>8</v>
      </c>
      <c r="F148" t="s">
        <v>71</v>
      </c>
      <c r="G148" t="s">
        <v>40</v>
      </c>
      <c r="H148" t="s">
        <v>55</v>
      </c>
      <c r="I148" t="s">
        <v>29</v>
      </c>
      <c r="J148" t="s">
        <v>30</v>
      </c>
      <c r="K148" t="s">
        <v>26</v>
      </c>
      <c r="L148" t="s">
        <v>63</v>
      </c>
      <c r="M148">
        <v>6</v>
      </c>
      <c r="N148" t="s">
        <v>28</v>
      </c>
      <c r="O148" t="s">
        <v>54</v>
      </c>
      <c r="P148" t="s">
        <v>73</v>
      </c>
      <c r="Q148" t="s">
        <v>35</v>
      </c>
      <c r="R148" t="s">
        <v>64</v>
      </c>
      <c r="S148" t="s">
        <v>85</v>
      </c>
      <c r="T148" t="s">
        <v>35</v>
      </c>
      <c r="U148" t="s">
        <v>35</v>
      </c>
      <c r="V148" t="str">
        <f t="shared" si="8"/>
        <v>CCCC-S</v>
      </c>
      <c r="W148">
        <v>4</v>
      </c>
      <c r="Y148" t="str">
        <f t="shared" si="9"/>
        <v>897A-6</v>
      </c>
      <c r="AA148">
        <v>2</v>
      </c>
      <c r="AB148">
        <v>12</v>
      </c>
      <c r="AD148">
        <f t="shared" si="10"/>
        <v>14</v>
      </c>
      <c r="AE148">
        <v>95</v>
      </c>
    </row>
    <row r="149" spans="1:31" x14ac:dyDescent="0.35">
      <c r="A149" t="s">
        <v>23</v>
      </c>
      <c r="B149">
        <v>8</v>
      </c>
      <c r="D149" t="s">
        <v>94</v>
      </c>
      <c r="E149">
        <v>8</v>
      </c>
      <c r="F149" t="s">
        <v>56</v>
      </c>
      <c r="G149">
        <v>8</v>
      </c>
      <c r="H149" t="s">
        <v>38</v>
      </c>
      <c r="I149" t="s">
        <v>80</v>
      </c>
      <c r="J149">
        <v>4</v>
      </c>
      <c r="K149" t="s">
        <v>55</v>
      </c>
      <c r="L149" t="s">
        <v>63</v>
      </c>
      <c r="M149">
        <v>6</v>
      </c>
      <c r="N149" t="s">
        <v>28</v>
      </c>
      <c r="O149" t="s">
        <v>62</v>
      </c>
      <c r="P149" t="s">
        <v>35</v>
      </c>
      <c r="Q149" t="s">
        <v>39</v>
      </c>
      <c r="R149" t="s">
        <v>37</v>
      </c>
      <c r="S149" t="s">
        <v>35</v>
      </c>
      <c r="T149" t="s">
        <v>25</v>
      </c>
      <c r="U149" t="s">
        <v>35</v>
      </c>
      <c r="V149" t="str">
        <f t="shared" si="8"/>
        <v>SSDH-S</v>
      </c>
      <c r="W149">
        <v>0</v>
      </c>
      <c r="Y149" t="str">
        <f t="shared" si="9"/>
        <v>KQ95-6</v>
      </c>
      <c r="AA149">
        <v>1</v>
      </c>
      <c r="AB149">
        <v>6</v>
      </c>
      <c r="AD149">
        <f t="shared" si="10"/>
        <v>7</v>
      </c>
      <c r="AE149">
        <v>103</v>
      </c>
    </row>
    <row r="150" spans="1:31" x14ac:dyDescent="0.35">
      <c r="A150" t="s">
        <v>90</v>
      </c>
      <c r="B150">
        <v>8</v>
      </c>
      <c r="D150" t="s">
        <v>94</v>
      </c>
      <c r="E150">
        <v>9</v>
      </c>
      <c r="F150" t="s">
        <v>49</v>
      </c>
      <c r="G150">
        <v>3</v>
      </c>
      <c r="H150" t="s">
        <v>55</v>
      </c>
      <c r="I150" t="s">
        <v>31</v>
      </c>
      <c r="J150">
        <v>3</v>
      </c>
      <c r="K150" t="s">
        <v>38</v>
      </c>
      <c r="L150" t="s">
        <v>65</v>
      </c>
      <c r="M150" t="s">
        <v>58</v>
      </c>
      <c r="N150" t="s">
        <v>26</v>
      </c>
      <c r="O150" t="s">
        <v>32</v>
      </c>
      <c r="P150" t="s">
        <v>25</v>
      </c>
      <c r="Q150" t="s">
        <v>35</v>
      </c>
      <c r="R150" t="s">
        <v>81</v>
      </c>
      <c r="S150" t="s">
        <v>35</v>
      </c>
      <c r="T150" t="s">
        <v>71</v>
      </c>
      <c r="U150" t="s">
        <v>35</v>
      </c>
      <c r="V150" t="str">
        <f t="shared" si="8"/>
        <v>DHCC-H</v>
      </c>
      <c r="W150">
        <v>0</v>
      </c>
      <c r="Y150" t="str">
        <f t="shared" si="9"/>
        <v>K5JQ-A</v>
      </c>
      <c r="AA150">
        <v>3</v>
      </c>
      <c r="AB150">
        <v>9</v>
      </c>
      <c r="AD150">
        <f t="shared" si="10"/>
        <v>12</v>
      </c>
      <c r="AE150">
        <v>107</v>
      </c>
    </row>
    <row r="151" spans="1:31" x14ac:dyDescent="0.35">
      <c r="A151" t="s">
        <v>23</v>
      </c>
      <c r="B151">
        <v>8</v>
      </c>
      <c r="D151" t="s">
        <v>94</v>
      </c>
      <c r="E151">
        <v>9</v>
      </c>
      <c r="F151" t="s">
        <v>82</v>
      </c>
      <c r="G151">
        <v>6</v>
      </c>
      <c r="H151" t="s">
        <v>55</v>
      </c>
      <c r="I151" t="s">
        <v>66</v>
      </c>
      <c r="J151">
        <v>5</v>
      </c>
      <c r="K151" t="s">
        <v>38</v>
      </c>
      <c r="L151" t="s">
        <v>65</v>
      </c>
      <c r="M151" t="s">
        <v>58</v>
      </c>
      <c r="N151" t="s">
        <v>26</v>
      </c>
      <c r="O151" t="s">
        <v>79</v>
      </c>
      <c r="P151" t="s">
        <v>37</v>
      </c>
      <c r="Q151" t="s">
        <v>35</v>
      </c>
      <c r="R151" t="s">
        <v>54</v>
      </c>
      <c r="S151" t="s">
        <v>74</v>
      </c>
      <c r="T151" t="s">
        <v>35</v>
      </c>
      <c r="U151" t="s">
        <v>35</v>
      </c>
      <c r="V151" t="str">
        <f t="shared" si="8"/>
        <v>DDCH-H</v>
      </c>
      <c r="W151">
        <v>0</v>
      </c>
      <c r="Y151" t="str">
        <f t="shared" si="9"/>
        <v>7989-A</v>
      </c>
      <c r="AA151">
        <v>1</v>
      </c>
      <c r="AB151">
        <v>8</v>
      </c>
      <c r="AC151">
        <v>2</v>
      </c>
      <c r="AD151">
        <f t="shared" si="10"/>
        <v>11</v>
      </c>
      <c r="AE151">
        <v>114</v>
      </c>
    </row>
    <row r="152" spans="1:31" x14ac:dyDescent="0.35">
      <c r="A152" t="s">
        <v>90</v>
      </c>
      <c r="B152">
        <v>8</v>
      </c>
      <c r="D152" t="s">
        <v>94</v>
      </c>
      <c r="E152">
        <v>10</v>
      </c>
      <c r="F152" t="s">
        <v>87</v>
      </c>
      <c r="G152">
        <v>1</v>
      </c>
      <c r="H152" t="s">
        <v>28</v>
      </c>
      <c r="I152" t="s">
        <v>52</v>
      </c>
      <c r="J152" t="s">
        <v>30</v>
      </c>
      <c r="K152" t="s">
        <v>38</v>
      </c>
      <c r="L152" t="s">
        <v>74</v>
      </c>
      <c r="M152">
        <v>9</v>
      </c>
      <c r="N152" t="s">
        <v>26</v>
      </c>
      <c r="O152" t="s">
        <v>27</v>
      </c>
      <c r="P152" t="s">
        <v>82</v>
      </c>
      <c r="Q152" t="s">
        <v>59</v>
      </c>
      <c r="R152" t="s">
        <v>35</v>
      </c>
      <c r="S152" t="s">
        <v>66</v>
      </c>
      <c r="T152" t="s">
        <v>35</v>
      </c>
      <c r="U152" t="s">
        <v>35</v>
      </c>
      <c r="V152" t="str">
        <f t="shared" si="8"/>
        <v>SCDD-H</v>
      </c>
      <c r="W152">
        <v>0</v>
      </c>
      <c r="Y152" t="str">
        <f t="shared" si="9"/>
        <v>7645-9</v>
      </c>
      <c r="AA152">
        <v>4</v>
      </c>
      <c r="AB152">
        <v>8</v>
      </c>
      <c r="AC152">
        <v>10</v>
      </c>
      <c r="AD152">
        <f t="shared" si="10"/>
        <v>22</v>
      </c>
      <c r="AE152">
        <v>119</v>
      </c>
    </row>
    <row r="153" spans="1:31" x14ac:dyDescent="0.35">
      <c r="A153" t="s">
        <v>23</v>
      </c>
      <c r="B153">
        <v>8</v>
      </c>
      <c r="D153" t="s">
        <v>94</v>
      </c>
      <c r="E153">
        <v>10</v>
      </c>
      <c r="F153" t="s">
        <v>81</v>
      </c>
      <c r="G153" t="s">
        <v>30</v>
      </c>
      <c r="H153" t="s">
        <v>55</v>
      </c>
      <c r="I153" t="s">
        <v>54</v>
      </c>
      <c r="J153">
        <v>8</v>
      </c>
      <c r="K153" t="s">
        <v>55</v>
      </c>
      <c r="L153" t="s">
        <v>74</v>
      </c>
      <c r="M153">
        <v>9</v>
      </c>
      <c r="N153" t="s">
        <v>26</v>
      </c>
      <c r="O153" t="s">
        <v>71</v>
      </c>
      <c r="P153" t="s">
        <v>60</v>
      </c>
      <c r="Q153" t="s">
        <v>35</v>
      </c>
      <c r="R153" t="s">
        <v>57</v>
      </c>
      <c r="S153" t="s">
        <v>78</v>
      </c>
      <c r="T153" t="s">
        <v>35</v>
      </c>
      <c r="U153" t="s">
        <v>35</v>
      </c>
      <c r="V153" t="str">
        <f t="shared" si="8"/>
        <v>CSSD-H</v>
      </c>
      <c r="W153">
        <v>0</v>
      </c>
      <c r="Y153" t="str">
        <f t="shared" si="9"/>
        <v>Q4AQ-9</v>
      </c>
      <c r="AA153">
        <v>1</v>
      </c>
      <c r="AB153">
        <v>6</v>
      </c>
      <c r="AD153">
        <f t="shared" si="10"/>
        <v>7</v>
      </c>
      <c r="AE153">
        <v>121</v>
      </c>
    </row>
    <row r="154" spans="1:31" x14ac:dyDescent="0.35">
      <c r="A154" t="s">
        <v>90</v>
      </c>
      <c r="B154">
        <v>9</v>
      </c>
      <c r="D154" t="s">
        <v>95</v>
      </c>
      <c r="E154">
        <v>1</v>
      </c>
      <c r="F154" t="s">
        <v>34</v>
      </c>
      <c r="G154" t="s">
        <v>58</v>
      </c>
      <c r="H154" t="s">
        <v>38</v>
      </c>
      <c r="I154" t="s">
        <v>65</v>
      </c>
      <c r="J154" t="s">
        <v>58</v>
      </c>
      <c r="K154" t="s">
        <v>26</v>
      </c>
      <c r="L154" t="s">
        <v>67</v>
      </c>
      <c r="M154">
        <v>2</v>
      </c>
      <c r="N154" t="s">
        <v>38</v>
      </c>
      <c r="O154" t="s">
        <v>68</v>
      </c>
      <c r="P154" t="s">
        <v>61</v>
      </c>
      <c r="Q154" t="s">
        <v>35</v>
      </c>
      <c r="R154" t="s">
        <v>84</v>
      </c>
      <c r="S154" t="s">
        <v>45</v>
      </c>
      <c r="T154" t="s">
        <v>35</v>
      </c>
      <c r="U154" t="s">
        <v>35</v>
      </c>
      <c r="V154" t="str">
        <f t="shared" si="8"/>
        <v>SDCH-D</v>
      </c>
      <c r="W154">
        <v>0</v>
      </c>
      <c r="Y154" t="str">
        <f t="shared" si="9"/>
        <v>910108-2</v>
      </c>
      <c r="AA154">
        <v>1</v>
      </c>
      <c r="AB154">
        <v>8</v>
      </c>
      <c r="AC154">
        <v>8</v>
      </c>
      <c r="AD154">
        <f t="shared" si="10"/>
        <v>17</v>
      </c>
      <c r="AE154">
        <v>17</v>
      </c>
    </row>
    <row r="155" spans="1:31" x14ac:dyDescent="0.35">
      <c r="A155" t="s">
        <v>23</v>
      </c>
      <c r="B155">
        <v>9</v>
      </c>
      <c r="D155" t="s">
        <v>95</v>
      </c>
      <c r="E155">
        <v>1</v>
      </c>
      <c r="F155" t="s">
        <v>49</v>
      </c>
      <c r="G155">
        <v>3</v>
      </c>
      <c r="H155" t="s">
        <v>55</v>
      </c>
      <c r="I155" t="s">
        <v>79</v>
      </c>
      <c r="J155">
        <v>7</v>
      </c>
      <c r="K155" t="s">
        <v>38</v>
      </c>
      <c r="L155" t="s">
        <v>67</v>
      </c>
      <c r="M155">
        <v>2</v>
      </c>
      <c r="N155" t="s">
        <v>38</v>
      </c>
      <c r="O155" t="s">
        <v>50</v>
      </c>
      <c r="P155" t="s">
        <v>66</v>
      </c>
      <c r="Q155" t="s">
        <v>35</v>
      </c>
      <c r="R155" t="s">
        <v>29</v>
      </c>
      <c r="S155" t="s">
        <v>35</v>
      </c>
      <c r="T155" t="s">
        <v>59</v>
      </c>
      <c r="U155" t="s">
        <v>35</v>
      </c>
      <c r="V155" t="str">
        <f t="shared" si="8"/>
        <v>HDHD-D</v>
      </c>
      <c r="W155">
        <v>0</v>
      </c>
      <c r="Y155" t="str">
        <f t="shared" si="9"/>
        <v>65J4-2</v>
      </c>
      <c r="AA155">
        <v>4</v>
      </c>
      <c r="AB155">
        <v>5</v>
      </c>
      <c r="AC155">
        <v>0</v>
      </c>
      <c r="AD155">
        <f t="shared" si="10"/>
        <v>9</v>
      </c>
      <c r="AE155">
        <v>9</v>
      </c>
    </row>
    <row r="156" spans="1:31" x14ac:dyDescent="0.35">
      <c r="A156" t="s">
        <v>90</v>
      </c>
      <c r="B156">
        <v>9</v>
      </c>
      <c r="D156" t="s">
        <v>95</v>
      </c>
      <c r="E156">
        <v>2</v>
      </c>
      <c r="F156" t="s">
        <v>87</v>
      </c>
      <c r="G156">
        <v>1</v>
      </c>
      <c r="H156" t="s">
        <v>28</v>
      </c>
      <c r="I156" t="s">
        <v>39</v>
      </c>
      <c r="J156" t="s">
        <v>40</v>
      </c>
      <c r="K156" t="s">
        <v>28</v>
      </c>
      <c r="L156" t="s">
        <v>70</v>
      </c>
      <c r="M156">
        <v>5</v>
      </c>
      <c r="N156" t="s">
        <v>28</v>
      </c>
      <c r="O156" t="s">
        <v>72</v>
      </c>
      <c r="P156" t="s">
        <v>59</v>
      </c>
      <c r="Q156" t="s">
        <v>45</v>
      </c>
      <c r="R156" t="s">
        <v>35</v>
      </c>
      <c r="S156" t="s">
        <v>60</v>
      </c>
      <c r="T156" t="s">
        <v>35</v>
      </c>
      <c r="U156" t="s">
        <v>35</v>
      </c>
      <c r="V156" t="str">
        <f t="shared" si="8"/>
        <v>SDHS-S</v>
      </c>
      <c r="W156">
        <v>0</v>
      </c>
      <c r="Y156" t="str">
        <f t="shared" si="9"/>
        <v>3484-5</v>
      </c>
      <c r="AA156">
        <v>4</v>
      </c>
      <c r="AB156">
        <v>10</v>
      </c>
      <c r="AC156">
        <v>0</v>
      </c>
      <c r="AD156">
        <f t="shared" si="10"/>
        <v>14</v>
      </c>
      <c r="AE156">
        <v>31</v>
      </c>
    </row>
    <row r="157" spans="1:31" x14ac:dyDescent="0.35">
      <c r="A157" t="s">
        <v>23</v>
      </c>
      <c r="B157">
        <v>9</v>
      </c>
      <c r="D157" t="s">
        <v>95</v>
      </c>
      <c r="E157">
        <v>2</v>
      </c>
      <c r="F157" t="s">
        <v>25</v>
      </c>
      <c r="G157">
        <v>5</v>
      </c>
      <c r="H157" t="s">
        <v>26</v>
      </c>
      <c r="I157" t="s">
        <v>52</v>
      </c>
      <c r="J157" t="s">
        <v>30</v>
      </c>
      <c r="K157" t="s">
        <v>38</v>
      </c>
      <c r="L157" t="s">
        <v>70</v>
      </c>
      <c r="M157">
        <v>5</v>
      </c>
      <c r="N157" t="s">
        <v>28</v>
      </c>
      <c r="O157" t="s">
        <v>41</v>
      </c>
      <c r="P157" t="s">
        <v>31</v>
      </c>
      <c r="Q157" t="s">
        <v>68</v>
      </c>
      <c r="R157" t="s">
        <v>35</v>
      </c>
      <c r="S157" t="s">
        <v>51</v>
      </c>
      <c r="T157" t="s">
        <v>35</v>
      </c>
      <c r="U157" t="s">
        <v>35</v>
      </c>
      <c r="V157" t="str">
        <f t="shared" si="8"/>
        <v>HDSD-S</v>
      </c>
      <c r="W157">
        <v>0</v>
      </c>
      <c r="Y157" t="str">
        <f t="shared" si="9"/>
        <v>3396-5</v>
      </c>
      <c r="AA157">
        <v>6</v>
      </c>
      <c r="AB157">
        <v>6</v>
      </c>
      <c r="AC157">
        <v>17</v>
      </c>
      <c r="AD157">
        <f t="shared" si="10"/>
        <v>29</v>
      </c>
      <c r="AE157">
        <v>38</v>
      </c>
    </row>
    <row r="158" spans="1:31" x14ac:dyDescent="0.35">
      <c r="A158" t="s">
        <v>90</v>
      </c>
      <c r="B158">
        <v>9</v>
      </c>
      <c r="D158" t="s">
        <v>95</v>
      </c>
      <c r="E158">
        <v>3</v>
      </c>
      <c r="F158" t="s">
        <v>34</v>
      </c>
      <c r="G158" t="s">
        <v>58</v>
      </c>
      <c r="H158" t="s">
        <v>38</v>
      </c>
      <c r="I158" t="s">
        <v>27</v>
      </c>
      <c r="J158">
        <v>7</v>
      </c>
      <c r="K158" t="s">
        <v>28</v>
      </c>
      <c r="L158" t="s">
        <v>65</v>
      </c>
      <c r="M158" t="s">
        <v>58</v>
      </c>
      <c r="N158" t="s">
        <v>26</v>
      </c>
      <c r="O158" t="s">
        <v>73</v>
      </c>
      <c r="P158" t="s">
        <v>61</v>
      </c>
      <c r="Q158" t="s">
        <v>35</v>
      </c>
      <c r="R158" t="s">
        <v>78</v>
      </c>
      <c r="S158" t="s">
        <v>86</v>
      </c>
      <c r="T158" t="s">
        <v>35</v>
      </c>
      <c r="U158" t="s">
        <v>35</v>
      </c>
      <c r="V158" t="str">
        <f t="shared" si="8"/>
        <v>CDDS-H</v>
      </c>
      <c r="W158">
        <v>0</v>
      </c>
      <c r="Y158" t="str">
        <f t="shared" si="9"/>
        <v>910QJ-A</v>
      </c>
      <c r="AA158">
        <v>3</v>
      </c>
      <c r="AB158">
        <v>4</v>
      </c>
      <c r="AC158">
        <v>6</v>
      </c>
      <c r="AD158">
        <f t="shared" si="10"/>
        <v>13</v>
      </c>
      <c r="AE158">
        <v>44</v>
      </c>
    </row>
    <row r="159" spans="1:31" x14ac:dyDescent="0.35">
      <c r="A159" t="s">
        <v>23</v>
      </c>
      <c r="B159">
        <v>9</v>
      </c>
      <c r="D159" t="s">
        <v>95</v>
      </c>
      <c r="E159">
        <v>3</v>
      </c>
      <c r="F159" t="s">
        <v>82</v>
      </c>
      <c r="G159">
        <v>6</v>
      </c>
      <c r="H159" t="s">
        <v>55</v>
      </c>
      <c r="I159" t="s">
        <v>74</v>
      </c>
      <c r="J159">
        <v>9</v>
      </c>
      <c r="K159" t="s">
        <v>26</v>
      </c>
      <c r="L159" t="s">
        <v>65</v>
      </c>
      <c r="M159" t="s">
        <v>58</v>
      </c>
      <c r="N159" t="s">
        <v>26</v>
      </c>
      <c r="O159" t="s">
        <v>46</v>
      </c>
      <c r="P159" t="s">
        <v>85</v>
      </c>
      <c r="Q159" t="s">
        <v>35</v>
      </c>
      <c r="R159" t="s">
        <v>32</v>
      </c>
      <c r="S159" t="s">
        <v>35</v>
      </c>
      <c r="T159" t="s">
        <v>42</v>
      </c>
      <c r="U159" t="s">
        <v>35</v>
      </c>
      <c r="V159" t="str">
        <f t="shared" si="8"/>
        <v>HCDH-H</v>
      </c>
      <c r="W159">
        <v>0</v>
      </c>
      <c r="Y159" t="str">
        <f t="shared" si="9"/>
        <v>KAK4-A</v>
      </c>
      <c r="AA159">
        <v>2</v>
      </c>
      <c r="AB159">
        <v>12</v>
      </c>
      <c r="AD159">
        <f t="shared" si="10"/>
        <v>14</v>
      </c>
      <c r="AE159">
        <v>52</v>
      </c>
    </row>
    <row r="160" spans="1:31" x14ac:dyDescent="0.35">
      <c r="A160" t="s">
        <v>90</v>
      </c>
      <c r="B160">
        <v>9</v>
      </c>
      <c r="D160" t="s">
        <v>95</v>
      </c>
      <c r="E160">
        <v>4</v>
      </c>
      <c r="F160" t="s">
        <v>34</v>
      </c>
      <c r="G160" t="s">
        <v>58</v>
      </c>
      <c r="H160" t="s">
        <v>38</v>
      </c>
      <c r="I160" t="s">
        <v>77</v>
      </c>
      <c r="J160">
        <v>2</v>
      </c>
      <c r="K160" t="s">
        <v>26</v>
      </c>
      <c r="L160" t="s">
        <v>42</v>
      </c>
      <c r="M160">
        <v>4</v>
      </c>
      <c r="N160" t="s">
        <v>26</v>
      </c>
      <c r="O160" t="s">
        <v>81</v>
      </c>
      <c r="P160" t="s">
        <v>35</v>
      </c>
      <c r="Q160" t="s">
        <v>50</v>
      </c>
      <c r="R160" t="s">
        <v>27</v>
      </c>
      <c r="S160" t="s">
        <v>35</v>
      </c>
      <c r="T160" t="s">
        <v>53</v>
      </c>
      <c r="U160" t="s">
        <v>35</v>
      </c>
      <c r="V160" t="str">
        <f t="shared" si="8"/>
        <v>CHSH-H</v>
      </c>
      <c r="W160">
        <v>0</v>
      </c>
      <c r="Y160" t="str">
        <f t="shared" si="9"/>
        <v>J67Q-4</v>
      </c>
      <c r="AA160">
        <v>1</v>
      </c>
      <c r="AB160">
        <v>0</v>
      </c>
      <c r="AD160">
        <f t="shared" si="10"/>
        <v>1</v>
      </c>
      <c r="AE160">
        <v>45</v>
      </c>
    </row>
    <row r="161" spans="1:31" x14ac:dyDescent="0.35">
      <c r="A161" t="s">
        <v>23</v>
      </c>
      <c r="B161">
        <v>9</v>
      </c>
      <c r="D161" t="s">
        <v>95</v>
      </c>
      <c r="E161">
        <v>4</v>
      </c>
      <c r="F161" t="s">
        <v>71</v>
      </c>
      <c r="G161" t="s">
        <v>40</v>
      </c>
      <c r="H161" t="s">
        <v>55</v>
      </c>
      <c r="I161" t="s">
        <v>69</v>
      </c>
      <c r="J161">
        <v>5</v>
      </c>
      <c r="K161" t="s">
        <v>55</v>
      </c>
      <c r="L161" t="s">
        <v>42</v>
      </c>
      <c r="M161">
        <v>4</v>
      </c>
      <c r="N161" t="s">
        <v>26</v>
      </c>
      <c r="O161" t="s">
        <v>87</v>
      </c>
      <c r="P161" t="s">
        <v>52</v>
      </c>
      <c r="Q161" t="s">
        <v>35</v>
      </c>
      <c r="R161" t="s">
        <v>68</v>
      </c>
      <c r="S161" t="s">
        <v>25</v>
      </c>
      <c r="T161" t="s">
        <v>35</v>
      </c>
      <c r="U161" t="s">
        <v>35</v>
      </c>
      <c r="V161" t="str">
        <f t="shared" si="8"/>
        <v>SDSH-H</v>
      </c>
      <c r="W161">
        <v>0</v>
      </c>
      <c r="Y161" t="str">
        <f t="shared" si="9"/>
        <v>10J95-4</v>
      </c>
      <c r="AA161">
        <v>5</v>
      </c>
      <c r="AB161">
        <v>7</v>
      </c>
      <c r="AC161">
        <v>4</v>
      </c>
      <c r="AD161">
        <f t="shared" si="10"/>
        <v>16</v>
      </c>
      <c r="AE161">
        <v>68</v>
      </c>
    </row>
    <row r="162" spans="1:31" x14ac:dyDescent="0.35">
      <c r="A162" t="s">
        <v>90</v>
      </c>
      <c r="B162">
        <v>9</v>
      </c>
      <c r="D162" t="s">
        <v>95</v>
      </c>
      <c r="E162">
        <v>5</v>
      </c>
      <c r="F162" t="s">
        <v>48</v>
      </c>
      <c r="G162">
        <v>1</v>
      </c>
      <c r="H162" t="s">
        <v>26</v>
      </c>
      <c r="I162" t="s">
        <v>57</v>
      </c>
      <c r="J162" t="s">
        <v>58</v>
      </c>
      <c r="K162" t="s">
        <v>28</v>
      </c>
      <c r="L162" t="s">
        <v>85</v>
      </c>
      <c r="M162" t="s">
        <v>58</v>
      </c>
      <c r="N162" t="s">
        <v>55</v>
      </c>
      <c r="O162" t="s">
        <v>56</v>
      </c>
      <c r="P162" t="s">
        <v>37</v>
      </c>
      <c r="Q162" t="s">
        <v>35</v>
      </c>
      <c r="R162" t="s">
        <v>78</v>
      </c>
      <c r="S162" t="s">
        <v>79</v>
      </c>
      <c r="T162" t="s">
        <v>35</v>
      </c>
      <c r="U162" t="s">
        <v>35</v>
      </c>
      <c r="V162" t="str">
        <f t="shared" si="8"/>
        <v>DDDD-C</v>
      </c>
      <c r="W162">
        <v>4</v>
      </c>
      <c r="X162">
        <v>0</v>
      </c>
      <c r="Y162" t="str">
        <f t="shared" si="9"/>
        <v>89Q7-A</v>
      </c>
      <c r="AA162">
        <v>3</v>
      </c>
      <c r="AB162">
        <v>9</v>
      </c>
      <c r="AC162">
        <v>6</v>
      </c>
      <c r="AD162">
        <f t="shared" si="10"/>
        <v>18</v>
      </c>
      <c r="AE162">
        <v>63</v>
      </c>
    </row>
    <row r="163" spans="1:31" x14ac:dyDescent="0.35">
      <c r="A163" t="s">
        <v>23</v>
      </c>
      <c r="B163">
        <v>9</v>
      </c>
      <c r="D163" t="s">
        <v>95</v>
      </c>
      <c r="E163">
        <v>5</v>
      </c>
      <c r="F163" t="s">
        <v>39</v>
      </c>
      <c r="G163" t="s">
        <v>40</v>
      </c>
      <c r="H163" t="s">
        <v>28</v>
      </c>
      <c r="I163" t="s">
        <v>41</v>
      </c>
      <c r="J163">
        <v>3</v>
      </c>
      <c r="K163" t="s">
        <v>26</v>
      </c>
      <c r="L163" t="s">
        <v>85</v>
      </c>
      <c r="M163" t="s">
        <v>58</v>
      </c>
      <c r="N163" t="s">
        <v>55</v>
      </c>
      <c r="O163" t="s">
        <v>73</v>
      </c>
      <c r="P163" t="s">
        <v>66</v>
      </c>
      <c r="Q163" t="s">
        <v>35</v>
      </c>
      <c r="R163" t="s">
        <v>84</v>
      </c>
      <c r="S163" t="s">
        <v>35</v>
      </c>
      <c r="T163" t="s">
        <v>51</v>
      </c>
      <c r="U163" t="s">
        <v>35</v>
      </c>
      <c r="V163" t="str">
        <f t="shared" si="8"/>
        <v>CDCD-C</v>
      </c>
      <c r="W163">
        <v>0</v>
      </c>
      <c r="Y163" t="str">
        <f t="shared" si="9"/>
        <v>95106-A</v>
      </c>
      <c r="AA163">
        <v>3</v>
      </c>
      <c r="AB163">
        <v>4</v>
      </c>
      <c r="AD163">
        <f t="shared" si="10"/>
        <v>7</v>
      </c>
      <c r="AE163">
        <v>75</v>
      </c>
    </row>
    <row r="164" spans="1:31" x14ac:dyDescent="0.35">
      <c r="A164" t="s">
        <v>90</v>
      </c>
      <c r="B164">
        <v>9</v>
      </c>
      <c r="D164" t="s">
        <v>95</v>
      </c>
      <c r="E164">
        <v>6</v>
      </c>
      <c r="F164" t="s">
        <v>56</v>
      </c>
      <c r="G164">
        <v>8</v>
      </c>
      <c r="H164" t="s">
        <v>38</v>
      </c>
      <c r="I164" t="s">
        <v>41</v>
      </c>
      <c r="J164">
        <v>3</v>
      </c>
      <c r="K164" t="s">
        <v>26</v>
      </c>
      <c r="L164" t="s">
        <v>74</v>
      </c>
      <c r="M164">
        <v>9</v>
      </c>
      <c r="N164" t="s">
        <v>26</v>
      </c>
      <c r="O164" t="s">
        <v>48</v>
      </c>
      <c r="P164" t="s">
        <v>65</v>
      </c>
      <c r="Q164" t="s">
        <v>35</v>
      </c>
      <c r="R164" t="s">
        <v>52</v>
      </c>
      <c r="S164" t="s">
        <v>29</v>
      </c>
      <c r="T164" t="s">
        <v>35</v>
      </c>
      <c r="U164" t="s">
        <v>35</v>
      </c>
      <c r="V164" t="str">
        <f t="shared" si="8"/>
        <v>HHDH-H</v>
      </c>
      <c r="W164">
        <v>0</v>
      </c>
      <c r="Y164" t="str">
        <f t="shared" si="9"/>
        <v>10AJJ-9</v>
      </c>
      <c r="AA164">
        <v>3</v>
      </c>
      <c r="AB164">
        <v>8</v>
      </c>
      <c r="AD164">
        <f t="shared" si="10"/>
        <v>11</v>
      </c>
      <c r="AE164">
        <v>74</v>
      </c>
    </row>
    <row r="165" spans="1:31" x14ac:dyDescent="0.35">
      <c r="A165" t="s">
        <v>23</v>
      </c>
      <c r="B165">
        <v>9</v>
      </c>
      <c r="D165" t="s">
        <v>95</v>
      </c>
      <c r="E165">
        <v>6</v>
      </c>
      <c r="F165" t="s">
        <v>37</v>
      </c>
      <c r="G165">
        <v>9</v>
      </c>
      <c r="H165" t="s">
        <v>38</v>
      </c>
      <c r="I165" t="s">
        <v>63</v>
      </c>
      <c r="J165">
        <v>6</v>
      </c>
      <c r="K165" t="s">
        <v>28</v>
      </c>
      <c r="L165" t="s">
        <v>74</v>
      </c>
      <c r="M165">
        <v>9</v>
      </c>
      <c r="N165" t="s">
        <v>26</v>
      </c>
      <c r="O165" t="s">
        <v>42</v>
      </c>
      <c r="P165" t="s">
        <v>32</v>
      </c>
      <c r="Q165" t="s">
        <v>35</v>
      </c>
      <c r="R165" t="s">
        <v>60</v>
      </c>
      <c r="S165" t="s">
        <v>79</v>
      </c>
      <c r="T165" t="s">
        <v>35</v>
      </c>
      <c r="U165" t="s">
        <v>35</v>
      </c>
      <c r="V165" t="str">
        <f t="shared" si="8"/>
        <v>HDSD-H</v>
      </c>
      <c r="W165">
        <v>0</v>
      </c>
      <c r="Y165" t="str">
        <f t="shared" si="9"/>
        <v>4K47-9</v>
      </c>
      <c r="AA165">
        <v>0</v>
      </c>
      <c r="AB165">
        <v>4</v>
      </c>
      <c r="AC165">
        <v>6</v>
      </c>
      <c r="AD165">
        <f t="shared" si="10"/>
        <v>10</v>
      </c>
      <c r="AE165">
        <v>85</v>
      </c>
    </row>
    <row r="166" spans="1:31" x14ac:dyDescent="0.35">
      <c r="A166" t="s">
        <v>90</v>
      </c>
      <c r="B166">
        <v>9</v>
      </c>
      <c r="D166" t="s">
        <v>95</v>
      </c>
      <c r="E166">
        <v>7</v>
      </c>
      <c r="F166" t="s">
        <v>54</v>
      </c>
      <c r="G166">
        <v>8</v>
      </c>
      <c r="H166" t="s">
        <v>55</v>
      </c>
      <c r="I166" t="s">
        <v>49</v>
      </c>
      <c r="J166">
        <v>3</v>
      </c>
      <c r="K166" t="s">
        <v>55</v>
      </c>
      <c r="L166" t="s">
        <v>63</v>
      </c>
      <c r="M166">
        <v>6</v>
      </c>
      <c r="N166" t="s">
        <v>28</v>
      </c>
      <c r="O166" t="s">
        <v>84</v>
      </c>
      <c r="P166" t="s">
        <v>71</v>
      </c>
      <c r="Q166" t="s">
        <v>35</v>
      </c>
      <c r="R166" t="s">
        <v>29</v>
      </c>
      <c r="S166" t="s">
        <v>35</v>
      </c>
      <c r="T166" t="s">
        <v>42</v>
      </c>
      <c r="U166" t="s">
        <v>35</v>
      </c>
      <c r="V166" t="str">
        <f t="shared" si="8"/>
        <v>CCHH-S</v>
      </c>
      <c r="W166">
        <v>0</v>
      </c>
      <c r="Y166" t="str">
        <f t="shared" si="9"/>
        <v>10QJ4-6</v>
      </c>
      <c r="AA166">
        <v>3</v>
      </c>
      <c r="AB166">
        <v>3</v>
      </c>
      <c r="AC166">
        <v>8</v>
      </c>
      <c r="AD166">
        <f t="shared" si="10"/>
        <v>14</v>
      </c>
      <c r="AE166">
        <v>88</v>
      </c>
    </row>
    <row r="167" spans="1:31" x14ac:dyDescent="0.35">
      <c r="A167" t="s">
        <v>23</v>
      </c>
      <c r="B167">
        <v>9</v>
      </c>
      <c r="D167" t="s">
        <v>95</v>
      </c>
      <c r="E167">
        <v>7</v>
      </c>
      <c r="F167" t="s">
        <v>82</v>
      </c>
      <c r="G167">
        <v>6</v>
      </c>
      <c r="H167" t="s">
        <v>55</v>
      </c>
      <c r="I167" t="s">
        <v>80</v>
      </c>
      <c r="J167">
        <v>4</v>
      </c>
      <c r="K167" t="s">
        <v>55</v>
      </c>
      <c r="L167" t="s">
        <v>63</v>
      </c>
      <c r="M167">
        <v>6</v>
      </c>
      <c r="N167" t="s">
        <v>28</v>
      </c>
      <c r="O167" t="s">
        <v>32</v>
      </c>
      <c r="P167" t="s">
        <v>35</v>
      </c>
      <c r="Q167" t="s">
        <v>81</v>
      </c>
      <c r="R167" t="s">
        <v>52</v>
      </c>
      <c r="S167" t="s">
        <v>35</v>
      </c>
      <c r="T167" t="s">
        <v>78</v>
      </c>
      <c r="U167" t="s">
        <v>35</v>
      </c>
      <c r="V167" t="str">
        <f t="shared" si="8"/>
        <v>DCDD-S</v>
      </c>
      <c r="W167">
        <v>0</v>
      </c>
      <c r="Y167" t="str">
        <f t="shared" si="9"/>
        <v>KJJQ-6</v>
      </c>
      <c r="AA167">
        <v>7</v>
      </c>
      <c r="AB167">
        <v>8</v>
      </c>
      <c r="AD167">
        <f t="shared" si="10"/>
        <v>15</v>
      </c>
      <c r="AE167">
        <v>100</v>
      </c>
    </row>
    <row r="168" spans="1:31" x14ac:dyDescent="0.35">
      <c r="A168" t="s">
        <v>90</v>
      </c>
      <c r="B168">
        <v>9</v>
      </c>
      <c r="D168" t="s">
        <v>95</v>
      </c>
      <c r="E168">
        <v>8</v>
      </c>
      <c r="F168" t="s">
        <v>59</v>
      </c>
      <c r="G168">
        <v>4</v>
      </c>
      <c r="H168" t="s">
        <v>38</v>
      </c>
      <c r="I168" t="s">
        <v>27</v>
      </c>
      <c r="J168">
        <v>7</v>
      </c>
      <c r="K168" t="s">
        <v>28</v>
      </c>
      <c r="L168" t="s">
        <v>66</v>
      </c>
      <c r="M168">
        <v>5</v>
      </c>
      <c r="N168" t="s">
        <v>38</v>
      </c>
      <c r="O168" t="s">
        <v>69</v>
      </c>
      <c r="P168" t="s">
        <v>35</v>
      </c>
      <c r="Q168" t="s">
        <v>32</v>
      </c>
      <c r="R168" t="s">
        <v>71</v>
      </c>
      <c r="S168" t="s">
        <v>35</v>
      </c>
      <c r="T168" t="s">
        <v>81</v>
      </c>
      <c r="U168" t="s">
        <v>35</v>
      </c>
      <c r="V168" t="str">
        <f t="shared" si="8"/>
        <v>CDCC-D</v>
      </c>
      <c r="W168">
        <v>0</v>
      </c>
      <c r="Y168" t="str">
        <f t="shared" si="9"/>
        <v>5KQJ-5</v>
      </c>
      <c r="AA168">
        <v>7</v>
      </c>
      <c r="AB168">
        <v>17</v>
      </c>
      <c r="AD168">
        <f t="shared" si="10"/>
        <v>24</v>
      </c>
      <c r="AE168">
        <v>112</v>
      </c>
    </row>
    <row r="169" spans="1:31" x14ac:dyDescent="0.35">
      <c r="A169" t="s">
        <v>23</v>
      </c>
      <c r="B169">
        <v>9</v>
      </c>
      <c r="D169" t="s">
        <v>95</v>
      </c>
      <c r="E169">
        <v>8</v>
      </c>
      <c r="F169" t="s">
        <v>61</v>
      </c>
      <c r="G169">
        <v>1</v>
      </c>
      <c r="H169" t="s">
        <v>38</v>
      </c>
      <c r="I169" t="s">
        <v>65</v>
      </c>
      <c r="J169" t="s">
        <v>58</v>
      </c>
      <c r="K169" t="s">
        <v>26</v>
      </c>
      <c r="L169" t="s">
        <v>66</v>
      </c>
      <c r="M169">
        <v>5</v>
      </c>
      <c r="N169" t="s">
        <v>38</v>
      </c>
      <c r="O169" t="s">
        <v>48</v>
      </c>
      <c r="P169" t="s">
        <v>53</v>
      </c>
      <c r="Q169" t="s">
        <v>35</v>
      </c>
      <c r="R169" t="s">
        <v>52</v>
      </c>
      <c r="S169" t="s">
        <v>35</v>
      </c>
      <c r="T169" t="s">
        <v>29</v>
      </c>
      <c r="U169" t="s">
        <v>35</v>
      </c>
      <c r="V169" t="str">
        <f t="shared" si="8"/>
        <v>HHDH-D</v>
      </c>
      <c r="W169">
        <v>0</v>
      </c>
      <c r="Y169" t="str">
        <f t="shared" si="9"/>
        <v>10QJJ-5</v>
      </c>
      <c r="AA169">
        <v>1</v>
      </c>
      <c r="AB169">
        <v>17</v>
      </c>
      <c r="AC169">
        <v>4</v>
      </c>
      <c r="AD169">
        <f t="shared" si="10"/>
        <v>22</v>
      </c>
      <c r="AE169">
        <v>122</v>
      </c>
    </row>
    <row r="170" spans="1:31" x14ac:dyDescent="0.35">
      <c r="A170" t="s">
        <v>90</v>
      </c>
      <c r="B170">
        <v>10</v>
      </c>
      <c r="D170" t="s">
        <v>96</v>
      </c>
      <c r="E170">
        <v>1</v>
      </c>
      <c r="F170" t="s">
        <v>39</v>
      </c>
      <c r="G170" t="s">
        <v>40</v>
      </c>
      <c r="H170" t="s">
        <v>28</v>
      </c>
      <c r="I170" t="s">
        <v>49</v>
      </c>
      <c r="J170">
        <v>3</v>
      </c>
      <c r="K170" t="s">
        <v>55</v>
      </c>
      <c r="L170" t="s">
        <v>45</v>
      </c>
      <c r="M170">
        <v>8</v>
      </c>
      <c r="N170" t="s">
        <v>26</v>
      </c>
      <c r="O170" t="s">
        <v>54</v>
      </c>
      <c r="P170" t="s">
        <v>63</v>
      </c>
      <c r="Q170" t="s">
        <v>27</v>
      </c>
      <c r="R170" t="s">
        <v>35</v>
      </c>
      <c r="S170" t="s">
        <v>50</v>
      </c>
      <c r="T170" t="s">
        <v>35</v>
      </c>
      <c r="U170" t="s">
        <v>35</v>
      </c>
      <c r="V170" t="str">
        <f t="shared" si="8"/>
        <v>CSSH-H</v>
      </c>
      <c r="W170">
        <v>0</v>
      </c>
      <c r="Y170" t="str">
        <f t="shared" si="9"/>
        <v>8676-8</v>
      </c>
      <c r="AA170">
        <v>3</v>
      </c>
      <c r="AB170">
        <v>20</v>
      </c>
      <c r="AC170">
        <v>2</v>
      </c>
      <c r="AD170">
        <f t="shared" si="10"/>
        <v>25</v>
      </c>
      <c r="AE170">
        <v>25</v>
      </c>
    </row>
    <row r="171" spans="1:31" x14ac:dyDescent="0.35">
      <c r="A171" t="s">
        <v>23</v>
      </c>
      <c r="B171">
        <v>10</v>
      </c>
      <c r="D171" t="s">
        <v>96</v>
      </c>
      <c r="E171">
        <v>1</v>
      </c>
      <c r="F171" t="s">
        <v>62</v>
      </c>
      <c r="G171" t="s">
        <v>47</v>
      </c>
      <c r="H171" t="s">
        <v>28</v>
      </c>
      <c r="I171" t="s">
        <v>41</v>
      </c>
      <c r="J171">
        <v>3</v>
      </c>
      <c r="K171" t="s">
        <v>26</v>
      </c>
      <c r="L171" t="s">
        <v>45</v>
      </c>
      <c r="M171">
        <v>8</v>
      </c>
      <c r="N171" t="s">
        <v>26</v>
      </c>
      <c r="O171" t="s">
        <v>79</v>
      </c>
      <c r="P171" t="s">
        <v>67</v>
      </c>
      <c r="Q171" t="s">
        <v>34</v>
      </c>
      <c r="R171" t="s">
        <v>35</v>
      </c>
      <c r="S171" t="s">
        <v>66</v>
      </c>
      <c r="T171" t="s">
        <v>35</v>
      </c>
      <c r="U171" t="s">
        <v>35</v>
      </c>
      <c r="V171" t="str">
        <f t="shared" si="8"/>
        <v>DDDD-H</v>
      </c>
      <c r="W171">
        <v>4</v>
      </c>
      <c r="X171">
        <v>0</v>
      </c>
      <c r="Y171" t="str">
        <f t="shared" si="9"/>
        <v>72A5-8</v>
      </c>
      <c r="AA171">
        <v>4</v>
      </c>
      <c r="AB171">
        <v>8</v>
      </c>
      <c r="AC171">
        <v>0</v>
      </c>
      <c r="AD171">
        <f t="shared" si="10"/>
        <v>12</v>
      </c>
      <c r="AE171">
        <v>12</v>
      </c>
    </row>
    <row r="172" spans="1:31" x14ac:dyDescent="0.35">
      <c r="A172" t="s">
        <v>90</v>
      </c>
      <c r="B172">
        <v>10</v>
      </c>
      <c r="D172" t="s">
        <v>96</v>
      </c>
      <c r="E172">
        <v>2</v>
      </c>
      <c r="F172" t="s">
        <v>45</v>
      </c>
      <c r="G172">
        <v>8</v>
      </c>
      <c r="H172" t="s">
        <v>26</v>
      </c>
      <c r="I172" t="s">
        <v>57</v>
      </c>
      <c r="J172" t="s">
        <v>58</v>
      </c>
      <c r="K172" t="s">
        <v>28</v>
      </c>
      <c r="L172" t="s">
        <v>42</v>
      </c>
      <c r="M172">
        <v>4</v>
      </c>
      <c r="N172" t="s">
        <v>26</v>
      </c>
      <c r="O172" t="s">
        <v>80</v>
      </c>
      <c r="P172" t="s">
        <v>32</v>
      </c>
      <c r="Q172" t="s">
        <v>35</v>
      </c>
      <c r="R172" t="s">
        <v>71</v>
      </c>
      <c r="S172" t="s">
        <v>81</v>
      </c>
      <c r="T172" t="s">
        <v>35</v>
      </c>
      <c r="U172" t="s">
        <v>35</v>
      </c>
      <c r="V172" t="str">
        <f t="shared" si="8"/>
        <v>CDCC-H</v>
      </c>
      <c r="W172">
        <v>0</v>
      </c>
      <c r="Y172" t="str">
        <f t="shared" si="9"/>
        <v>4KQJ-4</v>
      </c>
      <c r="AA172">
        <v>5</v>
      </c>
      <c r="AB172">
        <v>5</v>
      </c>
      <c r="AD172">
        <f t="shared" si="10"/>
        <v>10</v>
      </c>
      <c r="AE172">
        <v>35</v>
      </c>
    </row>
    <row r="173" spans="1:31" x14ac:dyDescent="0.35">
      <c r="A173" t="s">
        <v>23</v>
      </c>
      <c r="B173">
        <v>10</v>
      </c>
      <c r="D173" t="s">
        <v>96</v>
      </c>
      <c r="E173">
        <v>2</v>
      </c>
      <c r="F173" t="s">
        <v>84</v>
      </c>
      <c r="G173">
        <v>1</v>
      </c>
      <c r="H173" t="s">
        <v>55</v>
      </c>
      <c r="I173" t="s">
        <v>29</v>
      </c>
      <c r="J173" t="s">
        <v>30</v>
      </c>
      <c r="K173" t="s">
        <v>26</v>
      </c>
      <c r="L173" t="s">
        <v>42</v>
      </c>
      <c r="M173">
        <v>4</v>
      </c>
      <c r="N173" t="s">
        <v>26</v>
      </c>
      <c r="O173" t="s">
        <v>60</v>
      </c>
      <c r="P173" t="s">
        <v>68</v>
      </c>
      <c r="Q173" t="s">
        <v>35</v>
      </c>
      <c r="R173" t="s">
        <v>63</v>
      </c>
      <c r="S173" t="s">
        <v>70</v>
      </c>
      <c r="T173" t="s">
        <v>35</v>
      </c>
      <c r="U173" t="s">
        <v>35</v>
      </c>
      <c r="V173" t="str">
        <f t="shared" si="8"/>
        <v>SSSS-H</v>
      </c>
      <c r="W173">
        <v>4</v>
      </c>
      <c r="X173">
        <v>0</v>
      </c>
      <c r="Y173" t="str">
        <f t="shared" si="9"/>
        <v>4965-4</v>
      </c>
      <c r="AA173">
        <v>0</v>
      </c>
      <c r="AB173">
        <v>18</v>
      </c>
      <c r="AC173">
        <v>5</v>
      </c>
      <c r="AD173">
        <f t="shared" si="10"/>
        <v>23</v>
      </c>
      <c r="AE173">
        <v>35</v>
      </c>
    </row>
    <row r="174" spans="1:31" x14ac:dyDescent="0.35">
      <c r="A174" t="s">
        <v>90</v>
      </c>
      <c r="B174">
        <v>10</v>
      </c>
      <c r="D174" t="s">
        <v>96</v>
      </c>
      <c r="E174">
        <v>3</v>
      </c>
      <c r="F174" t="s">
        <v>48</v>
      </c>
      <c r="G174">
        <v>1</v>
      </c>
      <c r="H174" t="s">
        <v>26</v>
      </c>
      <c r="I174" t="s">
        <v>73</v>
      </c>
      <c r="J174">
        <v>9</v>
      </c>
      <c r="K174" t="s">
        <v>55</v>
      </c>
      <c r="L174" t="s">
        <v>50</v>
      </c>
      <c r="M174">
        <v>6</v>
      </c>
      <c r="N174" t="s">
        <v>26</v>
      </c>
      <c r="O174" t="s">
        <v>54</v>
      </c>
      <c r="P174" t="s">
        <v>39</v>
      </c>
      <c r="Q174" t="s">
        <v>57</v>
      </c>
      <c r="R174" t="s">
        <v>35</v>
      </c>
      <c r="S174" t="s">
        <v>70</v>
      </c>
      <c r="T174" t="s">
        <v>35</v>
      </c>
      <c r="U174" t="s">
        <v>35</v>
      </c>
      <c r="V174" t="str">
        <f t="shared" si="8"/>
        <v>CSSS-H</v>
      </c>
      <c r="W174">
        <v>0</v>
      </c>
      <c r="Y174" t="str">
        <f t="shared" si="9"/>
        <v>8QA5-6</v>
      </c>
      <c r="AA174">
        <v>2</v>
      </c>
      <c r="AB174">
        <v>8</v>
      </c>
      <c r="AC174">
        <v>2</v>
      </c>
      <c r="AD174">
        <f t="shared" si="10"/>
        <v>12</v>
      </c>
      <c r="AE174">
        <v>47</v>
      </c>
    </row>
    <row r="175" spans="1:31" x14ac:dyDescent="0.35">
      <c r="A175" t="s">
        <v>23</v>
      </c>
      <c r="B175">
        <v>10</v>
      </c>
      <c r="D175" t="s">
        <v>96</v>
      </c>
      <c r="E175">
        <v>3</v>
      </c>
      <c r="F175" t="s">
        <v>53</v>
      </c>
      <c r="G175" t="s">
        <v>40</v>
      </c>
      <c r="H175" t="s">
        <v>26</v>
      </c>
      <c r="I175" t="s">
        <v>60</v>
      </c>
      <c r="J175">
        <v>4</v>
      </c>
      <c r="K175" t="s">
        <v>28</v>
      </c>
      <c r="L175" t="s">
        <v>50</v>
      </c>
      <c r="M175">
        <v>6</v>
      </c>
      <c r="N175" t="s">
        <v>26</v>
      </c>
      <c r="O175" t="s">
        <v>44</v>
      </c>
      <c r="P175" t="s">
        <v>25</v>
      </c>
      <c r="Q175" t="s">
        <v>35</v>
      </c>
      <c r="R175" t="s">
        <v>31</v>
      </c>
      <c r="S175" t="s">
        <v>79</v>
      </c>
      <c r="T175" t="s">
        <v>35</v>
      </c>
      <c r="U175" t="s">
        <v>35</v>
      </c>
      <c r="V175" t="str">
        <f t="shared" si="8"/>
        <v>HHDD-H</v>
      </c>
      <c r="W175">
        <v>0</v>
      </c>
      <c r="Y175" t="str">
        <f t="shared" si="9"/>
        <v>7537-6</v>
      </c>
      <c r="AA175">
        <v>4</v>
      </c>
      <c r="AB175">
        <v>16</v>
      </c>
      <c r="AD175">
        <f t="shared" si="10"/>
        <v>20</v>
      </c>
      <c r="AE175">
        <v>55</v>
      </c>
    </row>
    <row r="176" spans="1:31" x14ac:dyDescent="0.35">
      <c r="A176" t="s">
        <v>90</v>
      </c>
      <c r="B176">
        <v>10</v>
      </c>
      <c r="D176" t="s">
        <v>96</v>
      </c>
      <c r="E176">
        <v>4</v>
      </c>
      <c r="F176" t="s">
        <v>74</v>
      </c>
      <c r="G176">
        <v>9</v>
      </c>
      <c r="H176" t="s">
        <v>26</v>
      </c>
      <c r="I176" t="s">
        <v>56</v>
      </c>
      <c r="J176">
        <v>8</v>
      </c>
      <c r="K176" t="s">
        <v>38</v>
      </c>
      <c r="L176" t="s">
        <v>50</v>
      </c>
      <c r="M176">
        <v>6</v>
      </c>
      <c r="N176" t="s">
        <v>26</v>
      </c>
      <c r="O176" t="s">
        <v>52</v>
      </c>
      <c r="P176" t="s">
        <v>29</v>
      </c>
      <c r="Q176" t="s">
        <v>34</v>
      </c>
      <c r="R176" t="s">
        <v>35</v>
      </c>
      <c r="S176" t="s">
        <v>70</v>
      </c>
      <c r="T176" t="s">
        <v>35</v>
      </c>
      <c r="U176" t="s">
        <v>35</v>
      </c>
      <c r="V176" t="str">
        <f t="shared" si="8"/>
        <v>DHDS-H</v>
      </c>
      <c r="W176">
        <v>0</v>
      </c>
      <c r="Y176" t="str">
        <f t="shared" si="9"/>
        <v>JJA5-6</v>
      </c>
      <c r="AA176">
        <v>4</v>
      </c>
      <c r="AB176">
        <v>6</v>
      </c>
      <c r="AD176">
        <f t="shared" si="10"/>
        <v>10</v>
      </c>
      <c r="AE176">
        <v>57</v>
      </c>
    </row>
    <row r="177" spans="1:31" x14ac:dyDescent="0.35">
      <c r="A177" t="s">
        <v>23</v>
      </c>
      <c r="B177">
        <v>10</v>
      </c>
      <c r="D177" t="s">
        <v>96</v>
      </c>
      <c r="E177">
        <v>4</v>
      </c>
      <c r="F177" t="s">
        <v>63</v>
      </c>
      <c r="G177">
        <v>6</v>
      </c>
      <c r="H177" t="s">
        <v>28</v>
      </c>
      <c r="I177" t="s">
        <v>49</v>
      </c>
      <c r="J177">
        <v>3</v>
      </c>
      <c r="K177" t="s">
        <v>55</v>
      </c>
      <c r="L177" t="s">
        <v>50</v>
      </c>
      <c r="M177">
        <v>6</v>
      </c>
      <c r="N177" t="s">
        <v>26</v>
      </c>
      <c r="O177" t="s">
        <v>33</v>
      </c>
      <c r="P177" t="s">
        <v>69</v>
      </c>
      <c r="Q177" t="s">
        <v>85</v>
      </c>
      <c r="R177" t="s">
        <v>35</v>
      </c>
      <c r="S177" t="s">
        <v>73</v>
      </c>
      <c r="T177" t="s">
        <v>35</v>
      </c>
      <c r="U177" t="s">
        <v>35</v>
      </c>
      <c r="V177" t="str">
        <f t="shared" si="8"/>
        <v>CCCC-H</v>
      </c>
      <c r="W177">
        <v>4</v>
      </c>
      <c r="X177">
        <v>0</v>
      </c>
      <c r="Y177" t="str">
        <f t="shared" si="9"/>
        <v>25A9-6</v>
      </c>
      <c r="AA177">
        <v>0</v>
      </c>
      <c r="AB177">
        <v>8</v>
      </c>
      <c r="AC177">
        <v>6</v>
      </c>
      <c r="AD177">
        <f t="shared" si="10"/>
        <v>14</v>
      </c>
      <c r="AE177">
        <v>69</v>
      </c>
    </row>
    <row r="178" spans="1:31" x14ac:dyDescent="0.35">
      <c r="A178" t="s">
        <v>90</v>
      </c>
      <c r="B178">
        <v>10</v>
      </c>
      <c r="D178" t="s">
        <v>96</v>
      </c>
      <c r="E178">
        <v>5</v>
      </c>
      <c r="F178" t="s">
        <v>65</v>
      </c>
      <c r="G178" t="s">
        <v>58</v>
      </c>
      <c r="H178" t="s">
        <v>26</v>
      </c>
      <c r="I178" t="s">
        <v>73</v>
      </c>
      <c r="J178">
        <v>9</v>
      </c>
      <c r="K178" t="s">
        <v>55</v>
      </c>
      <c r="L178" t="s">
        <v>70</v>
      </c>
      <c r="M178">
        <v>5</v>
      </c>
      <c r="N178" t="s">
        <v>28</v>
      </c>
      <c r="O178" t="s">
        <v>44</v>
      </c>
      <c r="P178" t="s">
        <v>84</v>
      </c>
      <c r="Q178" t="s">
        <v>35</v>
      </c>
      <c r="R178" t="s">
        <v>54</v>
      </c>
      <c r="S178" t="s">
        <v>79</v>
      </c>
      <c r="T178" t="s">
        <v>35</v>
      </c>
      <c r="U178" t="s">
        <v>35</v>
      </c>
      <c r="V178" t="str">
        <f t="shared" si="8"/>
        <v>HCCD-S</v>
      </c>
      <c r="W178">
        <v>0</v>
      </c>
      <c r="Y178" t="str">
        <f t="shared" si="9"/>
        <v>71087-5</v>
      </c>
      <c r="AA178">
        <v>1</v>
      </c>
      <c r="AB178">
        <v>8</v>
      </c>
      <c r="AC178">
        <v>8</v>
      </c>
      <c r="AD178">
        <f t="shared" si="10"/>
        <v>17</v>
      </c>
      <c r="AE178">
        <v>74</v>
      </c>
    </row>
    <row r="179" spans="1:31" x14ac:dyDescent="0.35">
      <c r="A179" t="s">
        <v>23</v>
      </c>
      <c r="B179">
        <v>10</v>
      </c>
      <c r="D179" t="s">
        <v>96</v>
      </c>
      <c r="E179">
        <v>5</v>
      </c>
      <c r="F179" t="s">
        <v>53</v>
      </c>
      <c r="G179" t="s">
        <v>40</v>
      </c>
      <c r="H179" t="s">
        <v>26</v>
      </c>
      <c r="I179" t="s">
        <v>39</v>
      </c>
      <c r="J179" t="s">
        <v>40</v>
      </c>
      <c r="K179" t="s">
        <v>28</v>
      </c>
      <c r="L179" t="s">
        <v>70</v>
      </c>
      <c r="M179">
        <v>5</v>
      </c>
      <c r="N179" t="s">
        <v>28</v>
      </c>
      <c r="O179" t="s">
        <v>52</v>
      </c>
      <c r="P179" t="s">
        <v>34</v>
      </c>
      <c r="Q179" t="s">
        <v>35</v>
      </c>
      <c r="R179" t="s">
        <v>71</v>
      </c>
      <c r="S179" t="s">
        <v>35</v>
      </c>
      <c r="T179" t="s">
        <v>32</v>
      </c>
      <c r="U179" t="s">
        <v>35</v>
      </c>
      <c r="V179" t="str">
        <f t="shared" si="8"/>
        <v>DDCD-S</v>
      </c>
      <c r="W179">
        <v>0</v>
      </c>
      <c r="Y179" t="str">
        <f t="shared" si="9"/>
        <v>JAQK-5</v>
      </c>
      <c r="AA179">
        <v>2</v>
      </c>
      <c r="AB179">
        <v>10</v>
      </c>
      <c r="AD179">
        <f t="shared" si="10"/>
        <v>12</v>
      </c>
      <c r="AE179">
        <v>81</v>
      </c>
    </row>
    <row r="180" spans="1:31" x14ac:dyDescent="0.35">
      <c r="A180" t="s">
        <v>90</v>
      </c>
      <c r="B180">
        <v>10</v>
      </c>
      <c r="D180" t="s">
        <v>96</v>
      </c>
      <c r="E180">
        <v>6</v>
      </c>
      <c r="F180" t="s">
        <v>48</v>
      </c>
      <c r="G180">
        <v>1</v>
      </c>
      <c r="H180" t="s">
        <v>26</v>
      </c>
      <c r="I180" t="s">
        <v>62</v>
      </c>
      <c r="J180" t="s">
        <v>47</v>
      </c>
      <c r="K180" t="s">
        <v>28</v>
      </c>
      <c r="L180" t="s">
        <v>83</v>
      </c>
      <c r="M180" t="s">
        <v>47</v>
      </c>
      <c r="N180" t="s">
        <v>55</v>
      </c>
      <c r="O180" t="s">
        <v>74</v>
      </c>
      <c r="P180" t="s">
        <v>44</v>
      </c>
      <c r="Q180" t="s">
        <v>35</v>
      </c>
      <c r="R180" t="s">
        <v>45</v>
      </c>
      <c r="S180" t="s">
        <v>35</v>
      </c>
      <c r="T180" t="s">
        <v>64</v>
      </c>
      <c r="U180" t="s">
        <v>35</v>
      </c>
      <c r="V180" t="str">
        <f t="shared" si="8"/>
        <v>HHHC-C</v>
      </c>
      <c r="W180">
        <v>0</v>
      </c>
      <c r="Y180" t="str">
        <f t="shared" si="9"/>
        <v>9787-K</v>
      </c>
      <c r="AA180">
        <v>4</v>
      </c>
      <c r="AB180">
        <v>12</v>
      </c>
      <c r="AC180">
        <v>0</v>
      </c>
      <c r="AD180">
        <f t="shared" si="10"/>
        <v>16</v>
      </c>
      <c r="AE180">
        <v>90</v>
      </c>
    </row>
    <row r="181" spans="1:31" x14ac:dyDescent="0.35">
      <c r="A181" t="s">
        <v>23</v>
      </c>
      <c r="B181">
        <v>10</v>
      </c>
      <c r="D181" t="s">
        <v>96</v>
      </c>
      <c r="E181">
        <v>6</v>
      </c>
      <c r="F181" t="s">
        <v>75</v>
      </c>
      <c r="G181">
        <v>8</v>
      </c>
      <c r="H181" t="s">
        <v>28</v>
      </c>
      <c r="I181" t="s">
        <v>77</v>
      </c>
      <c r="J181">
        <v>2</v>
      </c>
      <c r="K181" t="s">
        <v>26</v>
      </c>
      <c r="L181" t="s">
        <v>83</v>
      </c>
      <c r="M181" t="s">
        <v>47</v>
      </c>
      <c r="N181" t="s">
        <v>55</v>
      </c>
      <c r="O181" t="s">
        <v>70</v>
      </c>
      <c r="P181" t="s">
        <v>32</v>
      </c>
      <c r="Q181" t="s">
        <v>35</v>
      </c>
      <c r="R181" t="s">
        <v>78</v>
      </c>
      <c r="S181" t="s">
        <v>52</v>
      </c>
      <c r="T181" t="s">
        <v>35</v>
      </c>
      <c r="U181" t="s">
        <v>35</v>
      </c>
      <c r="V181" t="str">
        <f t="shared" si="8"/>
        <v>SDDD-C</v>
      </c>
      <c r="W181">
        <v>0</v>
      </c>
      <c r="Y181" t="str">
        <f t="shared" si="9"/>
        <v>5KQJ-K</v>
      </c>
      <c r="AA181">
        <v>1</v>
      </c>
      <c r="AB181">
        <v>16</v>
      </c>
      <c r="AC181">
        <v>2</v>
      </c>
      <c r="AD181">
        <f t="shared" si="10"/>
        <v>19</v>
      </c>
      <c r="AE181">
        <v>100</v>
      </c>
    </row>
    <row r="182" spans="1:31" x14ac:dyDescent="0.35">
      <c r="A182" t="s">
        <v>90</v>
      </c>
      <c r="B182">
        <v>10</v>
      </c>
      <c r="D182" t="s">
        <v>96</v>
      </c>
      <c r="E182">
        <v>7</v>
      </c>
      <c r="F182" t="s">
        <v>59</v>
      </c>
      <c r="G182">
        <v>4</v>
      </c>
      <c r="H182" t="s">
        <v>38</v>
      </c>
      <c r="I182" t="s">
        <v>44</v>
      </c>
      <c r="J182">
        <v>7</v>
      </c>
      <c r="K182" t="s">
        <v>26</v>
      </c>
      <c r="L182" t="s">
        <v>51</v>
      </c>
      <c r="M182">
        <v>6</v>
      </c>
      <c r="N182" t="s">
        <v>38</v>
      </c>
      <c r="O182" t="s">
        <v>42</v>
      </c>
      <c r="P182" t="s">
        <v>72</v>
      </c>
      <c r="Q182" t="s">
        <v>67</v>
      </c>
      <c r="R182" t="s">
        <v>35</v>
      </c>
      <c r="S182" t="s">
        <v>70</v>
      </c>
      <c r="T182" t="s">
        <v>35</v>
      </c>
      <c r="U182" t="s">
        <v>35</v>
      </c>
      <c r="V182" t="str">
        <f t="shared" si="8"/>
        <v>HSDS-D</v>
      </c>
      <c r="W182">
        <v>0</v>
      </c>
      <c r="Y182" t="str">
        <f t="shared" si="9"/>
        <v>4325-6</v>
      </c>
      <c r="AA182">
        <v>0</v>
      </c>
      <c r="AB182">
        <v>9</v>
      </c>
      <c r="AC182">
        <v>4</v>
      </c>
      <c r="AD182">
        <f t="shared" si="10"/>
        <v>13</v>
      </c>
      <c r="AE182">
        <v>103</v>
      </c>
    </row>
    <row r="183" spans="1:31" x14ac:dyDescent="0.35">
      <c r="A183" t="s">
        <v>23</v>
      </c>
      <c r="B183">
        <v>10</v>
      </c>
      <c r="D183" t="s">
        <v>96</v>
      </c>
      <c r="E183">
        <v>7</v>
      </c>
      <c r="F183" t="s">
        <v>37</v>
      </c>
      <c r="G183">
        <v>9</v>
      </c>
      <c r="H183" t="s">
        <v>38</v>
      </c>
      <c r="I183" t="s">
        <v>64</v>
      </c>
      <c r="J183">
        <v>7</v>
      </c>
      <c r="K183" t="s">
        <v>55</v>
      </c>
      <c r="L183" t="s">
        <v>51</v>
      </c>
      <c r="M183">
        <v>6</v>
      </c>
      <c r="N183" t="s">
        <v>38</v>
      </c>
      <c r="O183" t="s">
        <v>29</v>
      </c>
      <c r="P183" t="s">
        <v>71</v>
      </c>
      <c r="Q183" t="s">
        <v>43</v>
      </c>
      <c r="R183" t="s">
        <v>35</v>
      </c>
      <c r="S183" t="s">
        <v>53</v>
      </c>
      <c r="T183" t="s">
        <v>35</v>
      </c>
      <c r="U183" t="s">
        <v>35</v>
      </c>
      <c r="V183" t="str">
        <f t="shared" si="8"/>
        <v>HCSH-D</v>
      </c>
      <c r="W183">
        <v>0</v>
      </c>
      <c r="Y183" t="str">
        <f t="shared" si="9"/>
        <v>JQ2Q-6</v>
      </c>
      <c r="AA183">
        <v>6</v>
      </c>
      <c r="AB183">
        <v>2</v>
      </c>
      <c r="AD183">
        <f t="shared" si="10"/>
        <v>8</v>
      </c>
      <c r="AE183">
        <v>108</v>
      </c>
    </row>
    <row r="184" spans="1:31" x14ac:dyDescent="0.35">
      <c r="A184" t="s">
        <v>90</v>
      </c>
      <c r="B184">
        <v>10</v>
      </c>
      <c r="D184" t="s">
        <v>96</v>
      </c>
      <c r="E184">
        <v>8</v>
      </c>
      <c r="F184" t="s">
        <v>85</v>
      </c>
      <c r="G184" t="s">
        <v>58</v>
      </c>
      <c r="H184" t="s">
        <v>55</v>
      </c>
      <c r="I184" t="s">
        <v>73</v>
      </c>
      <c r="J184">
        <v>9</v>
      </c>
      <c r="K184" t="s">
        <v>55</v>
      </c>
      <c r="L184" t="s">
        <v>72</v>
      </c>
      <c r="M184">
        <v>3</v>
      </c>
      <c r="N184" t="s">
        <v>28</v>
      </c>
      <c r="O184" t="s">
        <v>66</v>
      </c>
      <c r="P184" t="s">
        <v>51</v>
      </c>
      <c r="Q184" t="s">
        <v>59</v>
      </c>
      <c r="R184" t="s">
        <v>65</v>
      </c>
      <c r="S184" t="s">
        <v>35</v>
      </c>
      <c r="T184" t="s">
        <v>35</v>
      </c>
      <c r="U184" t="s">
        <v>35</v>
      </c>
      <c r="V184" t="str">
        <f t="shared" si="8"/>
        <v>DDDH-S</v>
      </c>
      <c r="W184">
        <v>0</v>
      </c>
      <c r="Y184" t="str">
        <f t="shared" si="9"/>
        <v>564A-3</v>
      </c>
      <c r="AA184">
        <v>4</v>
      </c>
      <c r="AB184">
        <v>8</v>
      </c>
      <c r="AD184">
        <f t="shared" si="10"/>
        <v>12</v>
      </c>
      <c r="AE184">
        <v>115</v>
      </c>
    </row>
    <row r="185" spans="1:31" x14ac:dyDescent="0.35">
      <c r="A185" t="s">
        <v>23</v>
      </c>
      <c r="B185">
        <v>10</v>
      </c>
      <c r="D185" t="s">
        <v>96</v>
      </c>
      <c r="E185">
        <v>8</v>
      </c>
      <c r="F185" t="s">
        <v>77</v>
      </c>
      <c r="G185">
        <v>2</v>
      </c>
      <c r="H185" t="s">
        <v>26</v>
      </c>
      <c r="I185" t="s">
        <v>44</v>
      </c>
      <c r="J185">
        <v>7</v>
      </c>
      <c r="K185" t="s">
        <v>26</v>
      </c>
      <c r="L185" t="s">
        <v>72</v>
      </c>
      <c r="M185">
        <v>3</v>
      </c>
      <c r="N185" t="s">
        <v>28</v>
      </c>
      <c r="O185" t="s">
        <v>25</v>
      </c>
      <c r="P185" t="s">
        <v>46</v>
      </c>
      <c r="Q185" t="s">
        <v>35</v>
      </c>
      <c r="R185" t="s">
        <v>35</v>
      </c>
      <c r="S185" t="s">
        <v>35</v>
      </c>
      <c r="T185" t="s">
        <v>62</v>
      </c>
      <c r="U185" t="s">
        <v>86</v>
      </c>
      <c r="V185" t="str">
        <f t="shared" si="8"/>
        <v>HHSS-S</v>
      </c>
      <c r="W185">
        <v>0</v>
      </c>
      <c r="Y185" t="str">
        <f t="shared" si="9"/>
        <v>5KKJ-3</v>
      </c>
      <c r="AA185">
        <v>1</v>
      </c>
      <c r="AB185">
        <v>8</v>
      </c>
      <c r="AC185">
        <v>5</v>
      </c>
      <c r="AD185">
        <f t="shared" si="10"/>
        <v>14</v>
      </c>
      <c r="AE185">
        <v>122</v>
      </c>
    </row>
    <row r="186" spans="1:31" x14ac:dyDescent="0.35">
      <c r="A186" t="s">
        <v>90</v>
      </c>
      <c r="B186">
        <v>11</v>
      </c>
      <c r="D186" t="s">
        <v>97</v>
      </c>
      <c r="E186">
        <v>1</v>
      </c>
      <c r="F186" t="s">
        <v>50</v>
      </c>
      <c r="G186">
        <v>6</v>
      </c>
      <c r="H186" t="s">
        <v>26</v>
      </c>
      <c r="I186" t="s">
        <v>56</v>
      </c>
      <c r="J186">
        <v>8</v>
      </c>
      <c r="K186" t="s">
        <v>38</v>
      </c>
      <c r="L186" t="s">
        <v>77</v>
      </c>
      <c r="M186">
        <v>2</v>
      </c>
      <c r="N186" t="s">
        <v>26</v>
      </c>
      <c r="O186" t="s">
        <v>61</v>
      </c>
      <c r="P186" t="s">
        <v>69</v>
      </c>
      <c r="Q186" t="s">
        <v>35</v>
      </c>
      <c r="R186" t="s">
        <v>35</v>
      </c>
      <c r="S186" t="s">
        <v>29</v>
      </c>
      <c r="T186" t="s">
        <v>62</v>
      </c>
      <c r="U186" t="s">
        <v>35</v>
      </c>
      <c r="V186" t="str">
        <f t="shared" si="8"/>
        <v>DCHS-H</v>
      </c>
      <c r="W186">
        <v>0</v>
      </c>
      <c r="Y186" t="str">
        <f t="shared" si="9"/>
        <v>105JK-2</v>
      </c>
      <c r="AA186">
        <v>1</v>
      </c>
      <c r="AB186">
        <v>6</v>
      </c>
      <c r="AC186">
        <v>4</v>
      </c>
      <c r="AD186">
        <f t="shared" si="10"/>
        <v>11</v>
      </c>
      <c r="AE186">
        <v>11</v>
      </c>
    </row>
    <row r="187" spans="1:31" x14ac:dyDescent="0.35">
      <c r="A187" t="s">
        <v>23</v>
      </c>
      <c r="B187">
        <v>11</v>
      </c>
      <c r="D187" t="s">
        <v>97</v>
      </c>
      <c r="E187">
        <v>1</v>
      </c>
      <c r="F187" t="s">
        <v>31</v>
      </c>
      <c r="G187">
        <v>3</v>
      </c>
      <c r="H187" t="s">
        <v>38</v>
      </c>
      <c r="I187" t="s">
        <v>33</v>
      </c>
      <c r="J187">
        <v>2</v>
      </c>
      <c r="K187" t="s">
        <v>55</v>
      </c>
      <c r="L187" t="s">
        <v>77</v>
      </c>
      <c r="M187">
        <v>2</v>
      </c>
      <c r="N187" t="s">
        <v>26</v>
      </c>
      <c r="O187" t="s">
        <v>39</v>
      </c>
      <c r="P187" t="s">
        <v>72</v>
      </c>
      <c r="Q187" t="s">
        <v>49</v>
      </c>
      <c r="R187" t="s">
        <v>35</v>
      </c>
      <c r="S187" t="s">
        <v>43</v>
      </c>
      <c r="T187" t="s">
        <v>35</v>
      </c>
      <c r="U187" t="s">
        <v>35</v>
      </c>
      <c r="V187" t="str">
        <f t="shared" si="8"/>
        <v>SSCS-H</v>
      </c>
      <c r="W187">
        <v>0</v>
      </c>
      <c r="Y187" t="str">
        <f t="shared" si="9"/>
        <v>Q332-2</v>
      </c>
      <c r="AA187">
        <v>4</v>
      </c>
      <c r="AB187">
        <v>12</v>
      </c>
      <c r="AC187">
        <v>0</v>
      </c>
      <c r="AD187">
        <f t="shared" si="10"/>
        <v>16</v>
      </c>
      <c r="AE187">
        <v>16</v>
      </c>
    </row>
    <row r="188" spans="1:31" x14ac:dyDescent="0.35">
      <c r="A188" t="s">
        <v>90</v>
      </c>
      <c r="B188">
        <v>11</v>
      </c>
      <c r="D188" t="s">
        <v>97</v>
      </c>
      <c r="E188">
        <v>2</v>
      </c>
      <c r="F188" t="s">
        <v>61</v>
      </c>
      <c r="G188">
        <v>1</v>
      </c>
      <c r="H188" t="s">
        <v>38</v>
      </c>
      <c r="I188" t="s">
        <v>53</v>
      </c>
      <c r="J188" t="s">
        <v>40</v>
      </c>
      <c r="K188" t="s">
        <v>26</v>
      </c>
      <c r="L188" t="s">
        <v>72</v>
      </c>
      <c r="M188">
        <v>3</v>
      </c>
      <c r="N188" t="s">
        <v>28</v>
      </c>
      <c r="O188" t="s">
        <v>63</v>
      </c>
      <c r="P188" t="s">
        <v>74</v>
      </c>
      <c r="Q188" t="s">
        <v>35</v>
      </c>
      <c r="R188" t="s">
        <v>75</v>
      </c>
      <c r="S188" t="s">
        <v>27</v>
      </c>
      <c r="T188" t="s">
        <v>35</v>
      </c>
      <c r="U188" t="s">
        <v>35</v>
      </c>
      <c r="V188" t="str">
        <f t="shared" si="8"/>
        <v>SHSS-S</v>
      </c>
      <c r="W188">
        <v>4</v>
      </c>
      <c r="X188">
        <v>4</v>
      </c>
      <c r="Y188" t="str">
        <f t="shared" si="9"/>
        <v>6987-3</v>
      </c>
      <c r="AA188">
        <v>4</v>
      </c>
      <c r="AB188">
        <v>8</v>
      </c>
      <c r="AD188">
        <f t="shared" si="10"/>
        <v>12</v>
      </c>
      <c r="AE188">
        <v>23</v>
      </c>
    </row>
    <row r="189" spans="1:31" x14ac:dyDescent="0.35">
      <c r="A189" t="s">
        <v>23</v>
      </c>
      <c r="B189">
        <v>11</v>
      </c>
      <c r="D189" t="s">
        <v>97</v>
      </c>
      <c r="E189">
        <v>2</v>
      </c>
      <c r="F189" t="s">
        <v>71</v>
      </c>
      <c r="G189" t="s">
        <v>40</v>
      </c>
      <c r="H189" t="s">
        <v>55</v>
      </c>
      <c r="I189" t="s">
        <v>83</v>
      </c>
      <c r="J189" t="s">
        <v>47</v>
      </c>
      <c r="K189" t="s">
        <v>55</v>
      </c>
      <c r="L189" t="s">
        <v>72</v>
      </c>
      <c r="M189">
        <v>3</v>
      </c>
      <c r="N189" t="s">
        <v>28</v>
      </c>
      <c r="O189" t="s">
        <v>60</v>
      </c>
      <c r="P189" t="s">
        <v>87</v>
      </c>
      <c r="Q189" t="s">
        <v>67</v>
      </c>
      <c r="R189" t="s">
        <v>35</v>
      </c>
      <c r="S189" t="s">
        <v>68</v>
      </c>
      <c r="T189" t="s">
        <v>35</v>
      </c>
      <c r="U189" t="s">
        <v>35</v>
      </c>
      <c r="V189" t="str">
        <f t="shared" si="8"/>
        <v>SSDS-S</v>
      </c>
      <c r="W189">
        <v>4</v>
      </c>
      <c r="X189">
        <v>4</v>
      </c>
      <c r="Y189" t="str">
        <f t="shared" si="9"/>
        <v>41029-3</v>
      </c>
      <c r="AA189">
        <v>2</v>
      </c>
      <c r="AB189">
        <v>8</v>
      </c>
      <c r="AC189">
        <v>2</v>
      </c>
      <c r="AD189">
        <f t="shared" si="10"/>
        <v>12</v>
      </c>
      <c r="AE189">
        <v>28</v>
      </c>
    </row>
    <row r="190" spans="1:31" x14ac:dyDescent="0.35">
      <c r="A190" t="s">
        <v>90</v>
      </c>
      <c r="B190">
        <v>11</v>
      </c>
      <c r="D190" t="s">
        <v>97</v>
      </c>
      <c r="E190">
        <v>3</v>
      </c>
      <c r="F190" t="s">
        <v>77</v>
      </c>
      <c r="G190">
        <v>2</v>
      </c>
      <c r="H190" t="s">
        <v>26</v>
      </c>
      <c r="I190" t="s">
        <v>46</v>
      </c>
      <c r="J190" t="s">
        <v>47</v>
      </c>
      <c r="K190" t="s">
        <v>26</v>
      </c>
      <c r="L190" t="s">
        <v>63</v>
      </c>
      <c r="M190">
        <v>6</v>
      </c>
      <c r="N190" t="s">
        <v>28</v>
      </c>
      <c r="O190" t="s">
        <v>87</v>
      </c>
      <c r="P190" t="s">
        <v>53</v>
      </c>
      <c r="Q190" t="s">
        <v>35</v>
      </c>
      <c r="R190" t="s">
        <v>74</v>
      </c>
      <c r="S190" t="s">
        <v>35</v>
      </c>
      <c r="T190" t="s">
        <v>35</v>
      </c>
      <c r="U190" t="s">
        <v>56</v>
      </c>
      <c r="V190" t="str">
        <f t="shared" si="8"/>
        <v>SHHD-S</v>
      </c>
      <c r="W190">
        <v>0</v>
      </c>
      <c r="Y190" t="str">
        <f t="shared" si="9"/>
        <v>10Q98-6</v>
      </c>
      <c r="AA190">
        <v>3</v>
      </c>
      <c r="AB190">
        <v>5</v>
      </c>
      <c r="AC190">
        <v>1</v>
      </c>
      <c r="AD190">
        <f t="shared" si="10"/>
        <v>9</v>
      </c>
      <c r="AE190">
        <v>32</v>
      </c>
    </row>
    <row r="191" spans="1:31" x14ac:dyDescent="0.35">
      <c r="A191" t="s">
        <v>23</v>
      </c>
      <c r="B191">
        <v>11</v>
      </c>
      <c r="D191" t="s">
        <v>97</v>
      </c>
      <c r="E191">
        <v>3</v>
      </c>
      <c r="F191" t="s">
        <v>84</v>
      </c>
      <c r="G191">
        <v>1</v>
      </c>
      <c r="H191" t="s">
        <v>55</v>
      </c>
      <c r="I191" t="s">
        <v>86</v>
      </c>
      <c r="J191" t="s">
        <v>30</v>
      </c>
      <c r="K191" t="s">
        <v>28</v>
      </c>
      <c r="L191" t="s">
        <v>63</v>
      </c>
      <c r="M191">
        <v>6</v>
      </c>
      <c r="N191" t="s">
        <v>28</v>
      </c>
      <c r="O191" t="s">
        <v>61</v>
      </c>
      <c r="P191" t="s">
        <v>35</v>
      </c>
      <c r="Q191" t="s">
        <v>51</v>
      </c>
      <c r="R191" t="s">
        <v>37</v>
      </c>
      <c r="S191" t="s">
        <v>35</v>
      </c>
      <c r="T191" t="s">
        <v>35</v>
      </c>
      <c r="U191" t="s">
        <v>52</v>
      </c>
      <c r="V191" t="str">
        <f t="shared" si="8"/>
        <v>DDDD-S</v>
      </c>
      <c r="W191">
        <v>4</v>
      </c>
      <c r="X191">
        <v>0</v>
      </c>
      <c r="Y191" t="str">
        <f t="shared" si="9"/>
        <v>1069J-6</v>
      </c>
      <c r="AA191">
        <v>5</v>
      </c>
      <c r="AB191">
        <v>10</v>
      </c>
      <c r="AD191">
        <f t="shared" si="10"/>
        <v>15</v>
      </c>
      <c r="AE191">
        <v>43</v>
      </c>
    </row>
    <row r="192" spans="1:31" x14ac:dyDescent="0.35">
      <c r="A192" t="s">
        <v>90</v>
      </c>
      <c r="B192">
        <v>11</v>
      </c>
      <c r="D192" t="s">
        <v>97</v>
      </c>
      <c r="E192">
        <v>4</v>
      </c>
      <c r="F192" t="s">
        <v>67</v>
      </c>
      <c r="G192">
        <v>2</v>
      </c>
      <c r="H192" t="s">
        <v>38</v>
      </c>
      <c r="I192" t="s">
        <v>60</v>
      </c>
      <c r="J192">
        <v>4</v>
      </c>
      <c r="K192" t="s">
        <v>28</v>
      </c>
      <c r="L192" t="s">
        <v>50</v>
      </c>
      <c r="M192">
        <v>6</v>
      </c>
      <c r="N192" t="s">
        <v>26</v>
      </c>
      <c r="O192" t="s">
        <v>71</v>
      </c>
      <c r="P192" t="s">
        <v>54</v>
      </c>
      <c r="Q192" t="s">
        <v>35</v>
      </c>
      <c r="R192" t="s">
        <v>84</v>
      </c>
      <c r="S192" t="s">
        <v>63</v>
      </c>
      <c r="T192" t="s">
        <v>35</v>
      </c>
      <c r="U192" t="s">
        <v>35</v>
      </c>
      <c r="V192" t="str">
        <f t="shared" si="8"/>
        <v>CCCS-H</v>
      </c>
      <c r="W192">
        <v>0</v>
      </c>
      <c r="Y192" t="str">
        <f t="shared" si="9"/>
        <v>Q8106-6</v>
      </c>
      <c r="AA192">
        <v>3</v>
      </c>
      <c r="AB192">
        <v>2</v>
      </c>
      <c r="AD192">
        <f t="shared" si="10"/>
        <v>5</v>
      </c>
      <c r="AE192">
        <v>37</v>
      </c>
    </row>
    <row r="193" spans="1:31" x14ac:dyDescent="0.35">
      <c r="A193" t="s">
        <v>23</v>
      </c>
      <c r="B193">
        <v>11</v>
      </c>
      <c r="D193" t="s">
        <v>97</v>
      </c>
      <c r="E193">
        <v>4</v>
      </c>
      <c r="F193" t="s">
        <v>29</v>
      </c>
      <c r="G193" t="s">
        <v>30</v>
      </c>
      <c r="H193" t="s">
        <v>26</v>
      </c>
      <c r="I193" t="s">
        <v>86</v>
      </c>
      <c r="J193" t="s">
        <v>30</v>
      </c>
      <c r="K193" t="s">
        <v>28</v>
      </c>
      <c r="L193" t="s">
        <v>50</v>
      </c>
      <c r="M193">
        <v>6</v>
      </c>
      <c r="N193" t="s">
        <v>26</v>
      </c>
      <c r="O193" t="s">
        <v>72</v>
      </c>
      <c r="P193" t="s">
        <v>74</v>
      </c>
      <c r="Q193" t="s">
        <v>35</v>
      </c>
      <c r="R193" t="s">
        <v>79</v>
      </c>
      <c r="S193" t="s">
        <v>56</v>
      </c>
      <c r="T193" t="s">
        <v>35</v>
      </c>
      <c r="U193" t="s">
        <v>35</v>
      </c>
      <c r="V193" t="str">
        <f t="shared" si="8"/>
        <v>SHDD-H</v>
      </c>
      <c r="W193">
        <v>0</v>
      </c>
      <c r="Y193" t="str">
        <f t="shared" si="9"/>
        <v>3978-6</v>
      </c>
      <c r="AA193">
        <v>0</v>
      </c>
      <c r="AB193">
        <v>8</v>
      </c>
      <c r="AC193">
        <v>3</v>
      </c>
      <c r="AD193">
        <f t="shared" si="10"/>
        <v>11</v>
      </c>
      <c r="AE193">
        <v>54</v>
      </c>
    </row>
    <row r="194" spans="1:31" x14ac:dyDescent="0.35">
      <c r="A194" t="s">
        <v>90</v>
      </c>
      <c r="B194">
        <v>11</v>
      </c>
      <c r="D194" t="s">
        <v>97</v>
      </c>
      <c r="E194">
        <v>5</v>
      </c>
      <c r="F194" t="s">
        <v>60</v>
      </c>
      <c r="G194">
        <v>4</v>
      </c>
      <c r="H194" t="s">
        <v>28</v>
      </c>
      <c r="I194" t="s">
        <v>71</v>
      </c>
      <c r="J194" t="s">
        <v>40</v>
      </c>
      <c r="K194" t="s">
        <v>55</v>
      </c>
      <c r="L194" t="s">
        <v>70</v>
      </c>
      <c r="M194">
        <v>5</v>
      </c>
      <c r="N194" t="s">
        <v>28</v>
      </c>
      <c r="O194" t="s">
        <v>41</v>
      </c>
      <c r="P194" t="s">
        <v>49</v>
      </c>
      <c r="Q194" t="s">
        <v>85</v>
      </c>
      <c r="R194" t="s">
        <v>72</v>
      </c>
      <c r="S194" t="s">
        <v>35</v>
      </c>
      <c r="T194" t="s">
        <v>35</v>
      </c>
      <c r="U194" t="s">
        <v>35</v>
      </c>
      <c r="V194" t="str">
        <f t="shared" si="8"/>
        <v>HCCS-S</v>
      </c>
      <c r="W194">
        <v>0</v>
      </c>
      <c r="Y194" t="str">
        <f t="shared" si="9"/>
        <v>33A3-5</v>
      </c>
      <c r="AA194">
        <v>3</v>
      </c>
      <c r="AB194">
        <v>8</v>
      </c>
      <c r="AC194">
        <v>4</v>
      </c>
      <c r="AD194">
        <f t="shared" si="10"/>
        <v>15</v>
      </c>
      <c r="AE194">
        <v>52</v>
      </c>
    </row>
    <row r="195" spans="1:31" x14ac:dyDescent="0.35">
      <c r="A195" t="s">
        <v>23</v>
      </c>
      <c r="B195">
        <v>11</v>
      </c>
      <c r="D195" t="s">
        <v>97</v>
      </c>
      <c r="E195">
        <v>5</v>
      </c>
      <c r="F195" t="s">
        <v>86</v>
      </c>
      <c r="G195" t="s">
        <v>30</v>
      </c>
      <c r="H195" t="s">
        <v>28</v>
      </c>
      <c r="I195" t="s">
        <v>45</v>
      </c>
      <c r="J195">
        <v>8</v>
      </c>
      <c r="K195" t="s">
        <v>26</v>
      </c>
      <c r="L195" t="s">
        <v>70</v>
      </c>
      <c r="M195">
        <v>5</v>
      </c>
      <c r="N195" t="s">
        <v>28</v>
      </c>
      <c r="O195" t="s">
        <v>56</v>
      </c>
      <c r="P195" t="s">
        <v>34</v>
      </c>
      <c r="Q195" t="s">
        <v>52</v>
      </c>
      <c r="R195" t="s">
        <v>35</v>
      </c>
      <c r="S195" t="s">
        <v>59</v>
      </c>
      <c r="T195" t="s">
        <v>35</v>
      </c>
      <c r="U195" t="s">
        <v>35</v>
      </c>
      <c r="V195" t="str">
        <f t="shared" ref="V195:V239" si="11">SUBSTITUTE(_xlfn.CONCAT(RIGHT(O195,1),RIGHT(P195,1),RIGHT(Q195,1),RIGHT(R195,1),RIGHT(S195,1),RIGHT(T195,1),RIGHT(U195,1),"-",N195),"O","")</f>
        <v>DDDD-S</v>
      </c>
      <c r="W195">
        <v>4</v>
      </c>
      <c r="X195">
        <v>0</v>
      </c>
      <c r="Y195" t="str">
        <f t="shared" ref="Y195:Y239" si="12">SUBSTITUTE(SUBSTITUTE(_xlfn.CONCAT(LEFT(O195,1),LEFT(P195,1),LEFT(Q195,1),LEFT(R195,1),LEFT(S195,1),LEFT(T195,1),LEFT(U195,1),"-",M195),"G",""),"1","10")</f>
        <v>8AJ4-5</v>
      </c>
      <c r="AA195">
        <v>3</v>
      </c>
      <c r="AB195">
        <v>8</v>
      </c>
      <c r="AD195">
        <f t="shared" ref="AD195:AD239" si="13">AA195+AB195+AC195</f>
        <v>11</v>
      </c>
      <c r="AE195">
        <v>65</v>
      </c>
    </row>
    <row r="196" spans="1:31" x14ac:dyDescent="0.35">
      <c r="A196" t="s">
        <v>90</v>
      </c>
      <c r="B196">
        <v>11</v>
      </c>
      <c r="D196" t="s">
        <v>97</v>
      </c>
      <c r="E196">
        <v>6</v>
      </c>
      <c r="F196" t="s">
        <v>48</v>
      </c>
      <c r="G196">
        <v>1</v>
      </c>
      <c r="H196" t="s">
        <v>26</v>
      </c>
      <c r="I196" t="s">
        <v>65</v>
      </c>
      <c r="J196" t="s">
        <v>58</v>
      </c>
      <c r="K196" t="s">
        <v>26</v>
      </c>
      <c r="L196" t="s">
        <v>54</v>
      </c>
      <c r="M196">
        <v>8</v>
      </c>
      <c r="N196" t="s">
        <v>55</v>
      </c>
      <c r="O196" t="s">
        <v>41</v>
      </c>
      <c r="P196" t="s">
        <v>59</v>
      </c>
      <c r="Q196" t="s">
        <v>63</v>
      </c>
      <c r="R196" t="s">
        <v>66</v>
      </c>
      <c r="S196" t="s">
        <v>35</v>
      </c>
      <c r="T196" t="s">
        <v>35</v>
      </c>
      <c r="U196" t="s">
        <v>35</v>
      </c>
      <c r="V196" t="str">
        <f t="shared" si="11"/>
        <v>HDSD-C</v>
      </c>
      <c r="W196">
        <v>0</v>
      </c>
      <c r="Y196" t="str">
        <f t="shared" si="12"/>
        <v>3465-8</v>
      </c>
      <c r="AA196">
        <v>7</v>
      </c>
      <c r="AB196">
        <v>8</v>
      </c>
      <c r="AD196">
        <f t="shared" si="13"/>
        <v>15</v>
      </c>
      <c r="AE196">
        <v>67</v>
      </c>
    </row>
    <row r="197" spans="1:31" x14ac:dyDescent="0.35">
      <c r="A197" t="s">
        <v>23</v>
      </c>
      <c r="B197">
        <v>11</v>
      </c>
      <c r="D197" t="s">
        <v>97</v>
      </c>
      <c r="E197">
        <v>6</v>
      </c>
      <c r="F197" t="s">
        <v>53</v>
      </c>
      <c r="G197" t="s">
        <v>40</v>
      </c>
      <c r="H197" t="s">
        <v>26</v>
      </c>
      <c r="I197" t="s">
        <v>25</v>
      </c>
      <c r="J197">
        <v>5</v>
      </c>
      <c r="K197" t="s">
        <v>26</v>
      </c>
      <c r="L197" t="s">
        <v>54</v>
      </c>
      <c r="M197">
        <v>8</v>
      </c>
      <c r="N197" t="s">
        <v>55</v>
      </c>
      <c r="O197" t="s">
        <v>77</v>
      </c>
      <c r="P197" t="s">
        <v>85</v>
      </c>
      <c r="Q197" t="s">
        <v>74</v>
      </c>
      <c r="R197" t="s">
        <v>35</v>
      </c>
      <c r="S197" t="s">
        <v>35</v>
      </c>
      <c r="T197" t="s">
        <v>37</v>
      </c>
      <c r="U197" t="s">
        <v>35</v>
      </c>
      <c r="V197" t="str">
        <f t="shared" si="11"/>
        <v>HCHD-C</v>
      </c>
      <c r="W197">
        <v>0</v>
      </c>
      <c r="Y197" t="str">
        <f t="shared" si="12"/>
        <v>2A99-8</v>
      </c>
      <c r="AA197">
        <v>3</v>
      </c>
      <c r="AB197">
        <v>2</v>
      </c>
      <c r="AC197">
        <v>8</v>
      </c>
      <c r="AD197">
        <f t="shared" si="13"/>
        <v>13</v>
      </c>
      <c r="AE197">
        <v>78</v>
      </c>
    </row>
    <row r="198" spans="1:31" x14ac:dyDescent="0.35">
      <c r="A198" t="s">
        <v>90</v>
      </c>
      <c r="B198">
        <v>11</v>
      </c>
      <c r="D198" t="s">
        <v>97</v>
      </c>
      <c r="E198">
        <v>7</v>
      </c>
      <c r="F198" t="s">
        <v>65</v>
      </c>
      <c r="G198" t="s">
        <v>58</v>
      </c>
      <c r="H198" t="s">
        <v>26</v>
      </c>
      <c r="I198" t="s">
        <v>86</v>
      </c>
      <c r="J198" t="s">
        <v>30</v>
      </c>
      <c r="K198" t="s">
        <v>28</v>
      </c>
      <c r="L198" t="s">
        <v>72</v>
      </c>
      <c r="M198">
        <v>3</v>
      </c>
      <c r="N198" t="s">
        <v>28</v>
      </c>
      <c r="O198" t="s">
        <v>56</v>
      </c>
      <c r="P198" t="s">
        <v>79</v>
      </c>
      <c r="Q198" t="s">
        <v>35</v>
      </c>
      <c r="R198" t="s">
        <v>35</v>
      </c>
      <c r="S198" t="s">
        <v>63</v>
      </c>
      <c r="T198" t="s">
        <v>66</v>
      </c>
      <c r="U198" t="s">
        <v>35</v>
      </c>
      <c r="V198" t="str">
        <f t="shared" si="11"/>
        <v>DDSD-S</v>
      </c>
      <c r="W198">
        <v>0</v>
      </c>
      <c r="Y198" t="str">
        <f t="shared" si="12"/>
        <v>8765-3</v>
      </c>
      <c r="AA198">
        <v>1</v>
      </c>
      <c r="AB198">
        <v>8</v>
      </c>
      <c r="AC198">
        <v>3</v>
      </c>
      <c r="AD198">
        <f t="shared" si="13"/>
        <v>12</v>
      </c>
      <c r="AE198">
        <v>79</v>
      </c>
    </row>
    <row r="199" spans="1:31" x14ac:dyDescent="0.35">
      <c r="A199" t="s">
        <v>23</v>
      </c>
      <c r="B199">
        <v>11</v>
      </c>
      <c r="D199" t="s">
        <v>97</v>
      </c>
      <c r="E199">
        <v>7</v>
      </c>
      <c r="F199" t="s">
        <v>70</v>
      </c>
      <c r="G199">
        <v>5</v>
      </c>
      <c r="H199" t="s">
        <v>28</v>
      </c>
      <c r="I199" t="s">
        <v>45</v>
      </c>
      <c r="J199">
        <v>8</v>
      </c>
      <c r="K199" t="s">
        <v>26</v>
      </c>
      <c r="L199" t="s">
        <v>72</v>
      </c>
      <c r="M199">
        <v>3</v>
      </c>
      <c r="N199" t="s">
        <v>28</v>
      </c>
      <c r="O199" t="s">
        <v>78</v>
      </c>
      <c r="P199" t="s">
        <v>31</v>
      </c>
      <c r="Q199" t="s">
        <v>67</v>
      </c>
      <c r="R199" t="s">
        <v>35</v>
      </c>
      <c r="S199" t="s">
        <v>33</v>
      </c>
      <c r="T199" t="s">
        <v>35</v>
      </c>
      <c r="U199" t="s">
        <v>35</v>
      </c>
      <c r="V199" t="str">
        <f t="shared" si="11"/>
        <v>DDDC-S</v>
      </c>
      <c r="W199">
        <v>0</v>
      </c>
      <c r="Y199" t="str">
        <f t="shared" si="12"/>
        <v>Q322-3</v>
      </c>
      <c r="AA199">
        <v>1</v>
      </c>
      <c r="AB199">
        <v>12</v>
      </c>
      <c r="AD199">
        <f t="shared" si="13"/>
        <v>13</v>
      </c>
      <c r="AE199">
        <v>91</v>
      </c>
    </row>
    <row r="200" spans="1:31" x14ac:dyDescent="0.35">
      <c r="A200" t="s">
        <v>90</v>
      </c>
      <c r="B200">
        <v>11</v>
      </c>
      <c r="D200" t="s">
        <v>97</v>
      </c>
      <c r="E200">
        <v>8</v>
      </c>
      <c r="F200" t="s">
        <v>44</v>
      </c>
      <c r="G200">
        <v>7</v>
      </c>
      <c r="H200" t="s">
        <v>26</v>
      </c>
      <c r="I200" t="s">
        <v>46</v>
      </c>
      <c r="J200" t="s">
        <v>47</v>
      </c>
      <c r="K200" t="s">
        <v>26</v>
      </c>
      <c r="L200" t="s">
        <v>87</v>
      </c>
      <c r="M200">
        <v>1</v>
      </c>
      <c r="N200" t="s">
        <v>28</v>
      </c>
      <c r="O200" t="s">
        <v>80</v>
      </c>
      <c r="P200" t="s">
        <v>60</v>
      </c>
      <c r="Q200" t="s">
        <v>65</v>
      </c>
      <c r="R200" t="s">
        <v>35</v>
      </c>
      <c r="S200" t="s">
        <v>82</v>
      </c>
      <c r="T200" t="s">
        <v>35</v>
      </c>
      <c r="U200" t="s">
        <v>35</v>
      </c>
      <c r="V200" t="str">
        <f t="shared" si="11"/>
        <v>CSHC-S</v>
      </c>
      <c r="W200">
        <v>0</v>
      </c>
      <c r="Y200" t="str">
        <f t="shared" si="12"/>
        <v>44A6-10</v>
      </c>
      <c r="AA200">
        <v>1</v>
      </c>
      <c r="AB200">
        <v>10</v>
      </c>
      <c r="AD200">
        <f t="shared" si="13"/>
        <v>11</v>
      </c>
      <c r="AE200">
        <v>90</v>
      </c>
    </row>
    <row r="201" spans="1:31" x14ac:dyDescent="0.35">
      <c r="A201" t="s">
        <v>23</v>
      </c>
      <c r="B201">
        <v>11</v>
      </c>
      <c r="D201" t="s">
        <v>97</v>
      </c>
      <c r="E201">
        <v>8</v>
      </c>
      <c r="F201" t="s">
        <v>49</v>
      </c>
      <c r="G201">
        <v>3</v>
      </c>
      <c r="H201" t="s">
        <v>55</v>
      </c>
      <c r="I201" t="s">
        <v>73</v>
      </c>
      <c r="J201">
        <v>9</v>
      </c>
      <c r="K201" t="s">
        <v>55</v>
      </c>
      <c r="L201" t="s">
        <v>87</v>
      </c>
      <c r="M201">
        <v>1</v>
      </c>
      <c r="N201" t="s">
        <v>28</v>
      </c>
      <c r="O201" t="s">
        <v>69</v>
      </c>
      <c r="P201" t="s">
        <v>62</v>
      </c>
      <c r="Q201" t="s">
        <v>25</v>
      </c>
      <c r="R201" t="s">
        <v>35</v>
      </c>
      <c r="S201" t="s">
        <v>39</v>
      </c>
      <c r="T201" t="s">
        <v>35</v>
      </c>
      <c r="U201" t="s">
        <v>35</v>
      </c>
      <c r="V201" t="str">
        <f t="shared" si="11"/>
        <v>CSHS-S</v>
      </c>
      <c r="W201">
        <v>0</v>
      </c>
      <c r="Y201" t="str">
        <f t="shared" si="12"/>
        <v>5K5Q-10</v>
      </c>
      <c r="AA201">
        <v>0</v>
      </c>
      <c r="AB201">
        <v>12</v>
      </c>
      <c r="AD201">
        <f t="shared" si="13"/>
        <v>12</v>
      </c>
      <c r="AE201">
        <v>103</v>
      </c>
    </row>
    <row r="202" spans="1:31" x14ac:dyDescent="0.35">
      <c r="A202" t="s">
        <v>90</v>
      </c>
      <c r="B202">
        <v>11</v>
      </c>
      <c r="D202" t="s">
        <v>97</v>
      </c>
      <c r="E202">
        <v>9</v>
      </c>
      <c r="F202" t="s">
        <v>61</v>
      </c>
      <c r="G202">
        <v>1</v>
      </c>
      <c r="H202" t="s">
        <v>38</v>
      </c>
      <c r="I202" t="s">
        <v>68</v>
      </c>
      <c r="J202">
        <v>9</v>
      </c>
      <c r="K202" t="s">
        <v>28</v>
      </c>
      <c r="L202" t="s">
        <v>56</v>
      </c>
      <c r="M202">
        <v>8</v>
      </c>
      <c r="N202" t="s">
        <v>38</v>
      </c>
      <c r="O202" t="s">
        <v>46</v>
      </c>
      <c r="P202" t="s">
        <v>45</v>
      </c>
      <c r="Q202" t="s">
        <v>35</v>
      </c>
      <c r="R202" t="s">
        <v>44</v>
      </c>
      <c r="S202" t="s">
        <v>25</v>
      </c>
      <c r="T202" t="s">
        <v>35</v>
      </c>
      <c r="U202" t="s">
        <v>35</v>
      </c>
      <c r="V202" t="str">
        <f t="shared" si="11"/>
        <v>HHHH-D</v>
      </c>
      <c r="W202">
        <v>4</v>
      </c>
      <c r="X202">
        <v>0</v>
      </c>
      <c r="Y202" t="str">
        <f t="shared" si="12"/>
        <v>K875-8</v>
      </c>
      <c r="AA202">
        <v>2</v>
      </c>
      <c r="AB202">
        <v>12</v>
      </c>
      <c r="AC202">
        <v>5</v>
      </c>
      <c r="AD202">
        <f t="shared" si="13"/>
        <v>19</v>
      </c>
      <c r="AE202">
        <v>109</v>
      </c>
    </row>
    <row r="203" spans="1:31" x14ac:dyDescent="0.35">
      <c r="A203" t="s">
        <v>23</v>
      </c>
      <c r="B203">
        <v>11</v>
      </c>
      <c r="D203" t="s">
        <v>97</v>
      </c>
      <c r="E203">
        <v>9</v>
      </c>
      <c r="F203" t="s">
        <v>39</v>
      </c>
      <c r="G203" t="s">
        <v>40</v>
      </c>
      <c r="H203" t="s">
        <v>28</v>
      </c>
      <c r="I203" t="s">
        <v>29</v>
      </c>
      <c r="J203" t="s">
        <v>30</v>
      </c>
      <c r="K203" t="s">
        <v>26</v>
      </c>
      <c r="L203" t="s">
        <v>56</v>
      </c>
      <c r="M203">
        <v>8</v>
      </c>
      <c r="N203" t="s">
        <v>38</v>
      </c>
      <c r="O203" t="s">
        <v>84</v>
      </c>
      <c r="P203" t="s">
        <v>35</v>
      </c>
      <c r="Q203" t="s">
        <v>74</v>
      </c>
      <c r="R203" t="s">
        <v>54</v>
      </c>
      <c r="S203" t="s">
        <v>35</v>
      </c>
      <c r="T203" t="s">
        <v>79</v>
      </c>
      <c r="U203" t="s">
        <v>35</v>
      </c>
      <c r="V203" t="str">
        <f t="shared" si="11"/>
        <v>CHCD-D</v>
      </c>
      <c r="W203">
        <v>0</v>
      </c>
      <c r="Y203" t="str">
        <f t="shared" si="12"/>
        <v>10987-8</v>
      </c>
      <c r="AA203">
        <v>4</v>
      </c>
      <c r="AB203">
        <v>12</v>
      </c>
      <c r="AD203">
        <f t="shared" si="13"/>
        <v>16</v>
      </c>
      <c r="AE203">
        <v>119</v>
      </c>
    </row>
    <row r="204" spans="1:31" x14ac:dyDescent="0.35">
      <c r="A204" t="s">
        <v>90</v>
      </c>
      <c r="B204">
        <v>11</v>
      </c>
      <c r="D204" t="s">
        <v>97</v>
      </c>
      <c r="E204">
        <v>10</v>
      </c>
      <c r="F204" t="s">
        <v>61</v>
      </c>
      <c r="G204">
        <v>1</v>
      </c>
      <c r="H204" t="s">
        <v>38</v>
      </c>
      <c r="I204" t="s">
        <v>52</v>
      </c>
      <c r="J204" t="s">
        <v>30</v>
      </c>
      <c r="K204" t="s">
        <v>38</v>
      </c>
      <c r="L204" t="s">
        <v>64</v>
      </c>
      <c r="M204">
        <v>7</v>
      </c>
      <c r="N204" t="s">
        <v>55</v>
      </c>
      <c r="O204" t="s">
        <v>45</v>
      </c>
      <c r="P204" t="s">
        <v>25</v>
      </c>
      <c r="Q204" t="s">
        <v>80</v>
      </c>
      <c r="R204" t="s">
        <v>35</v>
      </c>
      <c r="S204" t="s">
        <v>72</v>
      </c>
      <c r="T204" t="s">
        <v>35</v>
      </c>
      <c r="U204" t="s">
        <v>35</v>
      </c>
      <c r="V204" t="str">
        <f t="shared" si="11"/>
        <v>HHCS-C</v>
      </c>
      <c r="W204">
        <v>0</v>
      </c>
      <c r="Y204" t="str">
        <f t="shared" si="12"/>
        <v>8543-7</v>
      </c>
      <c r="AA204">
        <v>3</v>
      </c>
      <c r="AB204">
        <v>9</v>
      </c>
      <c r="AD204">
        <f t="shared" si="13"/>
        <v>12</v>
      </c>
      <c r="AE204">
        <v>109</v>
      </c>
    </row>
    <row r="205" spans="1:31" x14ac:dyDescent="0.35">
      <c r="A205" t="s">
        <v>23</v>
      </c>
      <c r="B205">
        <v>11</v>
      </c>
      <c r="D205" t="s">
        <v>97</v>
      </c>
      <c r="E205">
        <v>10</v>
      </c>
      <c r="F205" t="s">
        <v>39</v>
      </c>
      <c r="G205" t="s">
        <v>40</v>
      </c>
      <c r="H205" t="s">
        <v>28</v>
      </c>
      <c r="I205" t="s">
        <v>46</v>
      </c>
      <c r="J205" t="s">
        <v>47</v>
      </c>
      <c r="K205" t="s">
        <v>26</v>
      </c>
      <c r="L205" t="s">
        <v>64</v>
      </c>
      <c r="M205">
        <v>7</v>
      </c>
      <c r="N205" t="s">
        <v>55</v>
      </c>
      <c r="O205" t="s">
        <v>51</v>
      </c>
      <c r="P205" t="s">
        <v>56</v>
      </c>
      <c r="Q205" t="s">
        <v>35</v>
      </c>
      <c r="R205" t="s">
        <v>35</v>
      </c>
      <c r="S205" t="s">
        <v>68</v>
      </c>
      <c r="T205" t="s">
        <v>66</v>
      </c>
      <c r="U205" t="s">
        <v>35</v>
      </c>
      <c r="V205" t="str">
        <f t="shared" si="11"/>
        <v>DDSD-C</v>
      </c>
      <c r="W205">
        <v>0</v>
      </c>
      <c r="Y205" t="str">
        <f t="shared" si="12"/>
        <v>6895-7</v>
      </c>
      <c r="AA205">
        <v>3</v>
      </c>
      <c r="AB205">
        <v>8</v>
      </c>
      <c r="AC205">
        <v>4</v>
      </c>
      <c r="AD205">
        <f t="shared" si="13"/>
        <v>15</v>
      </c>
      <c r="AE205">
        <v>121</v>
      </c>
    </row>
    <row r="206" spans="1:31" x14ac:dyDescent="0.35">
      <c r="A206" t="s">
        <v>90</v>
      </c>
      <c r="B206">
        <v>12</v>
      </c>
      <c r="D206" t="s">
        <v>98</v>
      </c>
      <c r="E206">
        <v>1</v>
      </c>
      <c r="F206" t="s">
        <v>51</v>
      </c>
      <c r="G206">
        <v>6</v>
      </c>
      <c r="H206" t="s">
        <v>38</v>
      </c>
      <c r="I206" t="s">
        <v>64</v>
      </c>
      <c r="J206">
        <v>7</v>
      </c>
      <c r="K206" t="s">
        <v>55</v>
      </c>
      <c r="L206" t="s">
        <v>84</v>
      </c>
      <c r="M206">
        <v>1</v>
      </c>
      <c r="N206" t="s">
        <v>55</v>
      </c>
      <c r="O206" t="s">
        <v>83</v>
      </c>
      <c r="P206" t="s">
        <v>73</v>
      </c>
      <c r="Q206" t="s">
        <v>35</v>
      </c>
      <c r="R206" t="s">
        <v>35</v>
      </c>
      <c r="S206" t="s">
        <v>35</v>
      </c>
      <c r="T206" t="s">
        <v>81</v>
      </c>
      <c r="U206" t="s">
        <v>53</v>
      </c>
      <c r="V206" t="str">
        <f t="shared" si="11"/>
        <v>CCCH-C</v>
      </c>
      <c r="W206">
        <v>4</v>
      </c>
      <c r="X206">
        <v>4</v>
      </c>
      <c r="Y206" t="str">
        <f t="shared" si="12"/>
        <v>K9JQ-10</v>
      </c>
      <c r="AA206">
        <v>1</v>
      </c>
      <c r="AB206">
        <v>5</v>
      </c>
      <c r="AC206">
        <v>10</v>
      </c>
      <c r="AD206">
        <f t="shared" si="13"/>
        <v>16</v>
      </c>
      <c r="AE206">
        <v>16</v>
      </c>
    </row>
    <row r="207" spans="1:31" x14ac:dyDescent="0.35">
      <c r="A207" t="s">
        <v>23</v>
      </c>
      <c r="B207">
        <v>12</v>
      </c>
      <c r="D207" t="s">
        <v>98</v>
      </c>
      <c r="E207">
        <v>1</v>
      </c>
      <c r="F207" t="s">
        <v>50</v>
      </c>
      <c r="G207">
        <v>6</v>
      </c>
      <c r="H207" t="s">
        <v>26</v>
      </c>
      <c r="I207" t="s">
        <v>54</v>
      </c>
      <c r="J207">
        <v>8</v>
      </c>
      <c r="K207" t="s">
        <v>55</v>
      </c>
      <c r="L207" t="s">
        <v>84</v>
      </c>
      <c r="M207">
        <v>1</v>
      </c>
      <c r="N207" t="s">
        <v>55</v>
      </c>
      <c r="O207" t="s">
        <v>72</v>
      </c>
      <c r="P207" t="s">
        <v>43</v>
      </c>
      <c r="Q207" t="s">
        <v>57</v>
      </c>
      <c r="R207" t="s">
        <v>34</v>
      </c>
      <c r="S207" t="s">
        <v>35</v>
      </c>
      <c r="T207" t="s">
        <v>35</v>
      </c>
      <c r="U207" t="s">
        <v>35</v>
      </c>
      <c r="V207" t="str">
        <f t="shared" si="11"/>
        <v>SSSD-C</v>
      </c>
      <c r="W207">
        <v>0</v>
      </c>
      <c r="Y207" t="str">
        <f t="shared" si="12"/>
        <v>32AA-10</v>
      </c>
      <c r="AA207">
        <v>3</v>
      </c>
      <c r="AB207">
        <v>12</v>
      </c>
      <c r="AC207">
        <v>0</v>
      </c>
      <c r="AD207">
        <f t="shared" si="13"/>
        <v>15</v>
      </c>
      <c r="AE207">
        <v>15</v>
      </c>
    </row>
    <row r="208" spans="1:31" x14ac:dyDescent="0.35">
      <c r="A208" t="s">
        <v>90</v>
      </c>
      <c r="B208">
        <v>12</v>
      </c>
      <c r="D208" t="s">
        <v>98</v>
      </c>
      <c r="E208">
        <v>2</v>
      </c>
      <c r="F208" t="s">
        <v>33</v>
      </c>
      <c r="G208">
        <v>2</v>
      </c>
      <c r="H208" t="s">
        <v>55</v>
      </c>
      <c r="I208" t="s">
        <v>54</v>
      </c>
      <c r="J208">
        <v>8</v>
      </c>
      <c r="K208" t="s">
        <v>55</v>
      </c>
      <c r="L208" t="s">
        <v>78</v>
      </c>
      <c r="M208" t="s">
        <v>40</v>
      </c>
      <c r="N208" t="s">
        <v>38</v>
      </c>
      <c r="O208" t="s">
        <v>70</v>
      </c>
      <c r="P208" t="s">
        <v>46</v>
      </c>
      <c r="Q208" t="s">
        <v>35</v>
      </c>
      <c r="R208" t="s">
        <v>66</v>
      </c>
      <c r="S208" t="s">
        <v>35</v>
      </c>
      <c r="T208" t="s">
        <v>53</v>
      </c>
      <c r="U208" t="s">
        <v>35</v>
      </c>
      <c r="V208" t="str">
        <f t="shared" si="11"/>
        <v>SHDH-D</v>
      </c>
      <c r="W208">
        <v>0</v>
      </c>
      <c r="Y208" t="str">
        <f t="shared" si="12"/>
        <v>5K5Q-Q</v>
      </c>
      <c r="AA208">
        <v>6</v>
      </c>
      <c r="AB208">
        <v>16</v>
      </c>
      <c r="AD208">
        <f t="shared" si="13"/>
        <v>22</v>
      </c>
      <c r="AE208">
        <v>38</v>
      </c>
    </row>
    <row r="209" spans="1:31" x14ac:dyDescent="0.35">
      <c r="A209" t="s">
        <v>23</v>
      </c>
      <c r="B209">
        <v>12</v>
      </c>
      <c r="D209" t="s">
        <v>98</v>
      </c>
      <c r="E209">
        <v>2</v>
      </c>
      <c r="F209" t="s">
        <v>43</v>
      </c>
      <c r="G209">
        <v>2</v>
      </c>
      <c r="H209" t="s">
        <v>28</v>
      </c>
      <c r="I209" t="s">
        <v>42</v>
      </c>
      <c r="J209">
        <v>4</v>
      </c>
      <c r="K209" t="s">
        <v>26</v>
      </c>
      <c r="L209" t="s">
        <v>78</v>
      </c>
      <c r="M209" t="s">
        <v>40</v>
      </c>
      <c r="N209" t="s">
        <v>38</v>
      </c>
      <c r="O209" t="s">
        <v>25</v>
      </c>
      <c r="P209" t="s">
        <v>48</v>
      </c>
      <c r="Q209" t="s">
        <v>35</v>
      </c>
      <c r="R209" t="s">
        <v>32</v>
      </c>
      <c r="S209" t="s">
        <v>39</v>
      </c>
      <c r="T209" t="s">
        <v>35</v>
      </c>
      <c r="U209" t="s">
        <v>35</v>
      </c>
      <c r="V209" t="str">
        <f t="shared" si="11"/>
        <v>HHDS-D</v>
      </c>
      <c r="W209">
        <v>0</v>
      </c>
      <c r="Y209" t="str">
        <f t="shared" si="12"/>
        <v>510KQ-Q</v>
      </c>
      <c r="AA209">
        <v>1</v>
      </c>
      <c r="AB209">
        <v>10</v>
      </c>
      <c r="AC209">
        <v>2</v>
      </c>
      <c r="AD209">
        <f t="shared" si="13"/>
        <v>13</v>
      </c>
      <c r="AE209">
        <v>28</v>
      </c>
    </row>
    <row r="210" spans="1:31" x14ac:dyDescent="0.35">
      <c r="A210" t="s">
        <v>90</v>
      </c>
      <c r="B210">
        <v>12</v>
      </c>
      <c r="D210" t="s">
        <v>98</v>
      </c>
      <c r="E210">
        <v>3</v>
      </c>
      <c r="F210" t="s">
        <v>68</v>
      </c>
      <c r="G210">
        <v>9</v>
      </c>
      <c r="H210" t="s">
        <v>28</v>
      </c>
      <c r="I210" t="s">
        <v>63</v>
      </c>
      <c r="J210">
        <v>6</v>
      </c>
      <c r="K210" t="s">
        <v>28</v>
      </c>
      <c r="L210" t="s">
        <v>43</v>
      </c>
      <c r="M210">
        <v>2</v>
      </c>
      <c r="N210" t="s">
        <v>28</v>
      </c>
      <c r="O210" t="s">
        <v>42</v>
      </c>
      <c r="P210" t="s">
        <v>83</v>
      </c>
      <c r="Q210" t="s">
        <v>34</v>
      </c>
      <c r="R210" t="s">
        <v>35</v>
      </c>
      <c r="S210" t="s">
        <v>35</v>
      </c>
      <c r="T210" t="s">
        <v>84</v>
      </c>
      <c r="U210" t="s">
        <v>35</v>
      </c>
      <c r="V210" t="str">
        <f t="shared" si="11"/>
        <v>HCDC-S</v>
      </c>
      <c r="W210">
        <v>0</v>
      </c>
      <c r="Y210" t="str">
        <f t="shared" si="12"/>
        <v>4KA10-2</v>
      </c>
      <c r="AA210">
        <v>3</v>
      </c>
      <c r="AB210">
        <v>4</v>
      </c>
      <c r="AC210">
        <v>8</v>
      </c>
      <c r="AD210">
        <f t="shared" si="13"/>
        <v>15</v>
      </c>
      <c r="AE210">
        <v>53</v>
      </c>
    </row>
    <row r="211" spans="1:31" x14ac:dyDescent="0.35">
      <c r="A211" t="s">
        <v>23</v>
      </c>
      <c r="B211">
        <v>12</v>
      </c>
      <c r="D211" t="s">
        <v>98</v>
      </c>
      <c r="E211">
        <v>3</v>
      </c>
      <c r="F211" t="s">
        <v>67</v>
      </c>
      <c r="G211">
        <v>2</v>
      </c>
      <c r="H211" t="s">
        <v>38</v>
      </c>
      <c r="I211" t="s">
        <v>44</v>
      </c>
      <c r="J211">
        <v>7</v>
      </c>
      <c r="K211" t="s">
        <v>26</v>
      </c>
      <c r="L211" t="s">
        <v>43</v>
      </c>
      <c r="M211">
        <v>2</v>
      </c>
      <c r="N211" t="s">
        <v>28</v>
      </c>
      <c r="O211" t="s">
        <v>37</v>
      </c>
      <c r="P211" t="s">
        <v>85</v>
      </c>
      <c r="Q211" t="s">
        <v>57</v>
      </c>
      <c r="R211" t="s">
        <v>69</v>
      </c>
      <c r="S211" t="s">
        <v>35</v>
      </c>
      <c r="T211" t="s">
        <v>35</v>
      </c>
      <c r="U211" t="s">
        <v>35</v>
      </c>
      <c r="V211" t="str">
        <f t="shared" si="11"/>
        <v>DCSC-S</v>
      </c>
      <c r="W211">
        <v>0</v>
      </c>
      <c r="Y211" t="str">
        <f t="shared" si="12"/>
        <v>9AA5-2</v>
      </c>
      <c r="AA211">
        <v>9</v>
      </c>
      <c r="AB211">
        <v>6</v>
      </c>
      <c r="AD211">
        <f t="shared" si="13"/>
        <v>15</v>
      </c>
      <c r="AE211">
        <v>43</v>
      </c>
    </row>
    <row r="212" spans="1:31" x14ac:dyDescent="0.35">
      <c r="A212" t="s">
        <v>90</v>
      </c>
      <c r="B212">
        <v>12</v>
      </c>
      <c r="D212" t="s">
        <v>98</v>
      </c>
      <c r="E212">
        <v>4</v>
      </c>
      <c r="F212" t="s">
        <v>73</v>
      </c>
      <c r="G212">
        <v>9</v>
      </c>
      <c r="H212" t="s">
        <v>55</v>
      </c>
      <c r="I212" t="s">
        <v>29</v>
      </c>
      <c r="J212" t="s">
        <v>30</v>
      </c>
      <c r="K212" t="s">
        <v>26</v>
      </c>
      <c r="L212" t="s">
        <v>34</v>
      </c>
      <c r="M212" t="s">
        <v>58</v>
      </c>
      <c r="N212" t="s">
        <v>38</v>
      </c>
      <c r="O212" t="s">
        <v>50</v>
      </c>
      <c r="P212" t="s">
        <v>59</v>
      </c>
      <c r="Q212" t="s">
        <v>35</v>
      </c>
      <c r="R212" t="s">
        <v>44</v>
      </c>
      <c r="S212" t="s">
        <v>60</v>
      </c>
      <c r="V212" t="str">
        <f t="shared" si="11"/>
        <v>HDHS-D</v>
      </c>
      <c r="W212">
        <v>0</v>
      </c>
      <c r="Y212" t="str">
        <f t="shared" si="12"/>
        <v>6474-A</v>
      </c>
      <c r="AA212">
        <v>5</v>
      </c>
      <c r="AB212">
        <v>6</v>
      </c>
      <c r="AC212">
        <v>0</v>
      </c>
      <c r="AD212">
        <f t="shared" si="13"/>
        <v>11</v>
      </c>
      <c r="AE212">
        <v>64</v>
      </c>
    </row>
    <row r="213" spans="1:31" x14ac:dyDescent="0.35">
      <c r="A213" t="s">
        <v>23</v>
      </c>
      <c r="B213">
        <v>12</v>
      </c>
      <c r="D213" t="s">
        <v>98</v>
      </c>
      <c r="E213">
        <v>4</v>
      </c>
      <c r="F213" t="s">
        <v>33</v>
      </c>
      <c r="G213">
        <v>2</v>
      </c>
      <c r="H213" t="s">
        <v>55</v>
      </c>
      <c r="I213" t="s">
        <v>56</v>
      </c>
      <c r="J213">
        <v>8</v>
      </c>
      <c r="K213" t="s">
        <v>38</v>
      </c>
      <c r="L213" t="s">
        <v>34</v>
      </c>
      <c r="M213" t="s">
        <v>58</v>
      </c>
      <c r="N213" t="s">
        <v>38</v>
      </c>
      <c r="O213" t="s">
        <v>37</v>
      </c>
      <c r="P213" t="s">
        <v>87</v>
      </c>
      <c r="Q213" t="s">
        <v>35</v>
      </c>
      <c r="R213" t="s">
        <v>52</v>
      </c>
      <c r="S213" t="s">
        <v>86</v>
      </c>
      <c r="V213" t="str">
        <f t="shared" si="11"/>
        <v>DSDS-D</v>
      </c>
      <c r="W213">
        <v>0</v>
      </c>
      <c r="Y213" t="str">
        <f t="shared" si="12"/>
        <v>910JJ-A</v>
      </c>
      <c r="AA213">
        <v>0</v>
      </c>
      <c r="AB213">
        <v>9</v>
      </c>
      <c r="AD213">
        <f t="shared" si="13"/>
        <v>9</v>
      </c>
      <c r="AE213">
        <v>52</v>
      </c>
    </row>
    <row r="214" spans="1:31" x14ac:dyDescent="0.35">
      <c r="A214" t="s">
        <v>90</v>
      </c>
      <c r="B214">
        <v>12</v>
      </c>
      <c r="D214" t="s">
        <v>98</v>
      </c>
      <c r="E214">
        <v>5</v>
      </c>
      <c r="F214" t="s">
        <v>87</v>
      </c>
      <c r="G214">
        <v>1</v>
      </c>
      <c r="H214" t="s">
        <v>28</v>
      </c>
      <c r="I214" t="s">
        <v>43</v>
      </c>
      <c r="J214">
        <v>2</v>
      </c>
      <c r="K214" t="s">
        <v>28</v>
      </c>
      <c r="L214" t="s">
        <v>45</v>
      </c>
      <c r="M214">
        <v>8</v>
      </c>
      <c r="N214" t="s">
        <v>26</v>
      </c>
      <c r="O214" t="s">
        <v>54</v>
      </c>
      <c r="P214" t="s">
        <v>27</v>
      </c>
      <c r="Q214" t="s">
        <v>35</v>
      </c>
      <c r="R214" t="s">
        <v>60</v>
      </c>
      <c r="S214" t="s">
        <v>31</v>
      </c>
      <c r="T214" t="s">
        <v>35</v>
      </c>
      <c r="U214" t="s">
        <v>35</v>
      </c>
      <c r="V214" t="str">
        <f t="shared" si="11"/>
        <v>CSSD-H</v>
      </c>
      <c r="W214">
        <v>0</v>
      </c>
      <c r="Y214" t="str">
        <f t="shared" si="12"/>
        <v>8743-8</v>
      </c>
      <c r="AA214">
        <v>0</v>
      </c>
      <c r="AB214">
        <v>10</v>
      </c>
      <c r="AC214">
        <v>2</v>
      </c>
      <c r="AD214">
        <f t="shared" si="13"/>
        <v>12</v>
      </c>
      <c r="AE214">
        <v>76</v>
      </c>
    </row>
    <row r="215" spans="1:31" x14ac:dyDescent="0.35">
      <c r="A215" t="s">
        <v>23</v>
      </c>
      <c r="B215">
        <v>12</v>
      </c>
      <c r="D215" t="s">
        <v>98</v>
      </c>
      <c r="E215">
        <v>5</v>
      </c>
      <c r="F215" t="s">
        <v>33</v>
      </c>
      <c r="G215">
        <v>2</v>
      </c>
      <c r="H215" t="s">
        <v>55</v>
      </c>
      <c r="I215" t="s">
        <v>59</v>
      </c>
      <c r="J215">
        <v>4</v>
      </c>
      <c r="K215" t="s">
        <v>38</v>
      </c>
      <c r="L215" t="s">
        <v>45</v>
      </c>
      <c r="M215">
        <v>8</v>
      </c>
      <c r="N215" t="s">
        <v>26</v>
      </c>
      <c r="O215" t="s">
        <v>84</v>
      </c>
      <c r="P215" t="s">
        <v>69</v>
      </c>
      <c r="Q215" t="s">
        <v>35</v>
      </c>
      <c r="R215" t="s">
        <v>80</v>
      </c>
      <c r="S215" t="s">
        <v>81</v>
      </c>
      <c r="T215" t="s">
        <v>35</v>
      </c>
      <c r="U215" t="s">
        <v>35</v>
      </c>
      <c r="V215" t="str">
        <f t="shared" si="11"/>
        <v>CCCC-H</v>
      </c>
      <c r="W215">
        <v>4</v>
      </c>
      <c r="X215">
        <v>0</v>
      </c>
      <c r="Y215" t="str">
        <f t="shared" si="12"/>
        <v>1054J-8</v>
      </c>
      <c r="AA215">
        <v>4</v>
      </c>
      <c r="AB215">
        <v>8</v>
      </c>
      <c r="AD215">
        <f t="shared" si="13"/>
        <v>12</v>
      </c>
      <c r="AE215">
        <v>64</v>
      </c>
    </row>
    <row r="216" spans="1:31" x14ac:dyDescent="0.35">
      <c r="A216" t="s">
        <v>90</v>
      </c>
      <c r="B216">
        <v>12</v>
      </c>
      <c r="D216" t="s">
        <v>98</v>
      </c>
      <c r="E216">
        <v>6</v>
      </c>
      <c r="F216" t="s">
        <v>59</v>
      </c>
      <c r="G216">
        <v>4</v>
      </c>
      <c r="H216" t="s">
        <v>38</v>
      </c>
      <c r="I216" t="s">
        <v>56</v>
      </c>
      <c r="J216">
        <v>8</v>
      </c>
      <c r="K216" t="s">
        <v>38</v>
      </c>
      <c r="L216" t="s">
        <v>31</v>
      </c>
      <c r="M216">
        <v>3</v>
      </c>
      <c r="N216" t="s">
        <v>38</v>
      </c>
      <c r="O216" t="s">
        <v>32</v>
      </c>
      <c r="P216" t="s">
        <v>62</v>
      </c>
      <c r="Q216" t="s">
        <v>35</v>
      </c>
      <c r="R216" t="s">
        <v>78</v>
      </c>
      <c r="S216" t="s">
        <v>25</v>
      </c>
      <c r="T216" t="s">
        <v>35</v>
      </c>
      <c r="U216" t="s">
        <v>35</v>
      </c>
      <c r="V216" t="str">
        <f t="shared" si="11"/>
        <v>DSDH-D</v>
      </c>
      <c r="W216">
        <v>0</v>
      </c>
      <c r="Y216" t="str">
        <f t="shared" si="12"/>
        <v>KKQ5-3</v>
      </c>
      <c r="AA216">
        <v>3</v>
      </c>
      <c r="AB216">
        <v>8</v>
      </c>
      <c r="AC216">
        <v>0</v>
      </c>
      <c r="AD216">
        <f t="shared" si="13"/>
        <v>11</v>
      </c>
      <c r="AE216">
        <v>87</v>
      </c>
    </row>
    <row r="217" spans="1:31" x14ac:dyDescent="0.35">
      <c r="A217" t="s">
        <v>23</v>
      </c>
      <c r="B217">
        <v>12</v>
      </c>
      <c r="D217" t="s">
        <v>98</v>
      </c>
      <c r="E217">
        <v>6</v>
      </c>
      <c r="F217" t="s">
        <v>57</v>
      </c>
      <c r="G217" t="s">
        <v>58</v>
      </c>
      <c r="H217" t="s">
        <v>28</v>
      </c>
      <c r="I217" t="s">
        <v>54</v>
      </c>
      <c r="J217">
        <v>8</v>
      </c>
      <c r="K217" t="s">
        <v>55</v>
      </c>
      <c r="L217" t="s">
        <v>31</v>
      </c>
      <c r="M217">
        <v>3</v>
      </c>
      <c r="N217" t="s">
        <v>38</v>
      </c>
      <c r="O217" t="s">
        <v>77</v>
      </c>
      <c r="P217" t="s">
        <v>74</v>
      </c>
      <c r="Q217" t="s">
        <v>35</v>
      </c>
      <c r="R217" t="s">
        <v>33</v>
      </c>
      <c r="S217" t="s">
        <v>73</v>
      </c>
      <c r="T217" t="s">
        <v>35</v>
      </c>
      <c r="U217" t="s">
        <v>35</v>
      </c>
      <c r="V217" t="str">
        <f t="shared" si="11"/>
        <v>HHCC-D</v>
      </c>
      <c r="W217">
        <v>0</v>
      </c>
      <c r="Y217" t="str">
        <f t="shared" si="12"/>
        <v>2929-3</v>
      </c>
      <c r="AA217">
        <v>0</v>
      </c>
      <c r="AB217">
        <v>4</v>
      </c>
      <c r="AC217">
        <v>6</v>
      </c>
      <c r="AD217">
        <f t="shared" si="13"/>
        <v>10</v>
      </c>
      <c r="AE217">
        <v>74</v>
      </c>
    </row>
    <row r="218" spans="1:31" x14ac:dyDescent="0.35">
      <c r="A218" t="s">
        <v>90</v>
      </c>
      <c r="B218">
        <v>12</v>
      </c>
      <c r="D218" t="s">
        <v>98</v>
      </c>
      <c r="E218">
        <v>7</v>
      </c>
      <c r="F218" t="s">
        <v>56</v>
      </c>
      <c r="G218">
        <v>8</v>
      </c>
      <c r="H218" t="s">
        <v>38</v>
      </c>
      <c r="I218" t="s">
        <v>31</v>
      </c>
      <c r="J218">
        <v>3</v>
      </c>
      <c r="K218" t="s">
        <v>38</v>
      </c>
      <c r="L218" t="s">
        <v>71</v>
      </c>
      <c r="M218" t="s">
        <v>40</v>
      </c>
      <c r="N218" t="s">
        <v>55</v>
      </c>
      <c r="O218" t="s">
        <v>84</v>
      </c>
      <c r="P218" t="s">
        <v>83</v>
      </c>
      <c r="Q218" t="s">
        <v>25</v>
      </c>
      <c r="R218" t="s">
        <v>35</v>
      </c>
      <c r="S218" t="s">
        <v>66</v>
      </c>
      <c r="T218" t="s">
        <v>35</v>
      </c>
      <c r="U218" t="s">
        <v>35</v>
      </c>
      <c r="V218" t="str">
        <f t="shared" si="11"/>
        <v>CCHD-C</v>
      </c>
      <c r="W218">
        <v>0</v>
      </c>
      <c r="Y218" t="str">
        <f t="shared" si="12"/>
        <v>10K55-Q</v>
      </c>
      <c r="AA218">
        <v>2</v>
      </c>
      <c r="AB218">
        <v>12</v>
      </c>
      <c r="AC218">
        <v>3</v>
      </c>
      <c r="AD218">
        <f t="shared" si="13"/>
        <v>17</v>
      </c>
      <c r="AE218">
        <v>104</v>
      </c>
    </row>
    <row r="219" spans="1:31" x14ac:dyDescent="0.35">
      <c r="A219" t="s">
        <v>23</v>
      </c>
      <c r="B219">
        <v>12</v>
      </c>
      <c r="D219" t="s">
        <v>98</v>
      </c>
      <c r="E219">
        <v>7</v>
      </c>
      <c r="F219" t="s">
        <v>87</v>
      </c>
      <c r="G219">
        <v>1</v>
      </c>
      <c r="H219" t="s">
        <v>28</v>
      </c>
      <c r="I219" t="s">
        <v>86</v>
      </c>
      <c r="J219" t="s">
        <v>30</v>
      </c>
      <c r="K219" t="s">
        <v>28</v>
      </c>
      <c r="L219" t="s">
        <v>71</v>
      </c>
      <c r="M219" t="s">
        <v>40</v>
      </c>
      <c r="N219" t="s">
        <v>55</v>
      </c>
      <c r="O219" t="s">
        <v>41</v>
      </c>
      <c r="P219" t="s">
        <v>67</v>
      </c>
      <c r="Q219" t="s">
        <v>85</v>
      </c>
      <c r="R219" t="s">
        <v>35</v>
      </c>
      <c r="S219" t="s">
        <v>77</v>
      </c>
      <c r="T219" t="s">
        <v>35</v>
      </c>
      <c r="U219" t="s">
        <v>35</v>
      </c>
      <c r="V219" t="str">
        <f t="shared" si="11"/>
        <v>HDCH-C</v>
      </c>
      <c r="W219">
        <v>0</v>
      </c>
      <c r="Y219" t="str">
        <f t="shared" si="12"/>
        <v>32A2-Q</v>
      </c>
      <c r="AA219">
        <v>3</v>
      </c>
      <c r="AB219">
        <v>12</v>
      </c>
      <c r="AD219">
        <f t="shared" si="13"/>
        <v>15</v>
      </c>
      <c r="AE219">
        <v>89</v>
      </c>
    </row>
    <row r="220" spans="1:31" x14ac:dyDescent="0.35">
      <c r="A220" t="s">
        <v>90</v>
      </c>
      <c r="B220">
        <v>12</v>
      </c>
      <c r="D220" t="s">
        <v>98</v>
      </c>
      <c r="E220">
        <v>8</v>
      </c>
      <c r="F220" t="s">
        <v>74</v>
      </c>
      <c r="G220">
        <v>9</v>
      </c>
      <c r="H220" t="s">
        <v>26</v>
      </c>
      <c r="I220" t="s">
        <v>82</v>
      </c>
      <c r="J220">
        <v>6</v>
      </c>
      <c r="K220" t="s">
        <v>55</v>
      </c>
      <c r="L220" t="s">
        <v>77</v>
      </c>
      <c r="M220">
        <v>2</v>
      </c>
      <c r="N220" t="s">
        <v>26</v>
      </c>
      <c r="O220" t="s">
        <v>81</v>
      </c>
      <c r="P220" t="s">
        <v>35</v>
      </c>
      <c r="Q220" t="s">
        <v>62</v>
      </c>
      <c r="R220" t="s">
        <v>66</v>
      </c>
      <c r="S220" t="s">
        <v>35</v>
      </c>
      <c r="T220" t="s">
        <v>71</v>
      </c>
      <c r="U220" t="s">
        <v>35</v>
      </c>
      <c r="V220" t="str">
        <f t="shared" si="11"/>
        <v>CSDC-H</v>
      </c>
      <c r="W220">
        <v>0</v>
      </c>
      <c r="Y220" t="str">
        <f t="shared" si="12"/>
        <v>JK5Q-2</v>
      </c>
      <c r="AA220">
        <v>2</v>
      </c>
      <c r="AB220">
        <v>8</v>
      </c>
      <c r="AD220">
        <f t="shared" si="13"/>
        <v>10</v>
      </c>
      <c r="AE220">
        <v>114</v>
      </c>
    </row>
    <row r="221" spans="1:31" x14ac:dyDescent="0.35">
      <c r="A221" t="s">
        <v>23</v>
      </c>
      <c r="B221">
        <v>12</v>
      </c>
      <c r="D221" t="s">
        <v>98</v>
      </c>
      <c r="E221">
        <v>8</v>
      </c>
      <c r="F221" t="s">
        <v>59</v>
      </c>
      <c r="G221">
        <v>4</v>
      </c>
      <c r="H221" t="s">
        <v>38</v>
      </c>
      <c r="I221" t="s">
        <v>60</v>
      </c>
      <c r="J221">
        <v>4</v>
      </c>
      <c r="K221" t="s">
        <v>28</v>
      </c>
      <c r="L221" t="s">
        <v>77</v>
      </c>
      <c r="M221">
        <v>2</v>
      </c>
      <c r="N221" t="s">
        <v>26</v>
      </c>
      <c r="O221" t="s">
        <v>54</v>
      </c>
      <c r="P221" t="s">
        <v>83</v>
      </c>
      <c r="Q221" t="s">
        <v>35</v>
      </c>
      <c r="R221" t="s">
        <v>25</v>
      </c>
      <c r="S221" t="s">
        <v>48</v>
      </c>
      <c r="T221" t="s">
        <v>35</v>
      </c>
      <c r="U221" t="s">
        <v>35</v>
      </c>
      <c r="V221" t="str">
        <f t="shared" si="11"/>
        <v>CCHH-H</v>
      </c>
      <c r="W221">
        <v>0</v>
      </c>
      <c r="Y221" t="str">
        <f t="shared" si="12"/>
        <v>8K510-2</v>
      </c>
      <c r="AA221">
        <v>4</v>
      </c>
      <c r="AB221">
        <v>6</v>
      </c>
      <c r="AC221">
        <v>10</v>
      </c>
      <c r="AD221">
        <f t="shared" si="13"/>
        <v>20</v>
      </c>
      <c r="AE221">
        <v>109</v>
      </c>
    </row>
    <row r="222" spans="1:31" x14ac:dyDescent="0.35">
      <c r="A222" t="s">
        <v>90</v>
      </c>
      <c r="B222">
        <v>12</v>
      </c>
      <c r="D222" t="s">
        <v>98</v>
      </c>
      <c r="E222">
        <v>9</v>
      </c>
      <c r="F222" t="s">
        <v>34</v>
      </c>
      <c r="G222" t="s">
        <v>58</v>
      </c>
      <c r="H222" t="s">
        <v>38</v>
      </c>
      <c r="I222" t="s">
        <v>82</v>
      </c>
      <c r="J222">
        <v>6</v>
      </c>
      <c r="K222" t="s">
        <v>55</v>
      </c>
      <c r="L222" t="s">
        <v>48</v>
      </c>
      <c r="M222">
        <v>1</v>
      </c>
      <c r="N222" t="s">
        <v>26</v>
      </c>
      <c r="O222" t="s">
        <v>32</v>
      </c>
      <c r="P222" t="s">
        <v>81</v>
      </c>
      <c r="Q222" t="s">
        <v>35</v>
      </c>
      <c r="R222" t="s">
        <v>69</v>
      </c>
      <c r="S222" t="s">
        <v>35</v>
      </c>
      <c r="T222" t="s">
        <v>62</v>
      </c>
      <c r="U222" t="s">
        <v>35</v>
      </c>
      <c r="V222" t="str">
        <f t="shared" si="11"/>
        <v>DCCS-H</v>
      </c>
      <c r="W222">
        <v>0</v>
      </c>
      <c r="Y222" t="str">
        <f t="shared" si="12"/>
        <v>KJ5K-10</v>
      </c>
      <c r="AA222">
        <v>4</v>
      </c>
      <c r="AB222">
        <v>10</v>
      </c>
      <c r="AD222">
        <f t="shared" si="13"/>
        <v>14</v>
      </c>
      <c r="AE222">
        <v>128</v>
      </c>
    </row>
    <row r="223" spans="1:31" x14ac:dyDescent="0.35">
      <c r="A223" t="s">
        <v>23</v>
      </c>
      <c r="B223">
        <v>12</v>
      </c>
      <c r="D223" t="s">
        <v>98</v>
      </c>
      <c r="E223">
        <v>9</v>
      </c>
      <c r="F223" t="s">
        <v>49</v>
      </c>
      <c r="G223">
        <v>3</v>
      </c>
      <c r="H223" t="s">
        <v>55</v>
      </c>
      <c r="I223" t="s">
        <v>44</v>
      </c>
      <c r="J223">
        <v>7</v>
      </c>
      <c r="K223" t="s">
        <v>26</v>
      </c>
      <c r="L223" t="s">
        <v>48</v>
      </c>
      <c r="M223">
        <v>1</v>
      </c>
      <c r="N223" t="s">
        <v>26</v>
      </c>
      <c r="O223" t="s">
        <v>56</v>
      </c>
      <c r="P223" t="s">
        <v>35</v>
      </c>
      <c r="Q223" t="s">
        <v>52</v>
      </c>
      <c r="R223" t="s">
        <v>78</v>
      </c>
      <c r="S223" t="s">
        <v>59</v>
      </c>
      <c r="T223" t="s">
        <v>35</v>
      </c>
      <c r="U223" t="s">
        <v>35</v>
      </c>
      <c r="V223" t="str">
        <f t="shared" si="11"/>
        <v>DDDD-H</v>
      </c>
      <c r="W223">
        <v>4</v>
      </c>
      <c r="X223">
        <v>0</v>
      </c>
      <c r="Y223" t="str">
        <f t="shared" si="12"/>
        <v>8JQ4-10</v>
      </c>
      <c r="AA223">
        <v>1</v>
      </c>
      <c r="AB223">
        <v>7</v>
      </c>
      <c r="AD223">
        <f t="shared" si="13"/>
        <v>8</v>
      </c>
      <c r="AE223">
        <v>110</v>
      </c>
    </row>
    <row r="224" spans="1:31" x14ac:dyDescent="0.35">
      <c r="A224" t="s">
        <v>23</v>
      </c>
      <c r="B224">
        <v>13</v>
      </c>
      <c r="D224" t="s">
        <v>99</v>
      </c>
      <c r="E224">
        <v>1</v>
      </c>
      <c r="F224" t="s">
        <v>86</v>
      </c>
      <c r="G224" t="s">
        <v>30</v>
      </c>
      <c r="H224" t="s">
        <v>28</v>
      </c>
      <c r="I224" t="s">
        <v>52</v>
      </c>
      <c r="J224" t="s">
        <v>30</v>
      </c>
      <c r="K224" t="s">
        <v>38</v>
      </c>
      <c r="L224" t="s">
        <v>37</v>
      </c>
      <c r="M224">
        <v>9</v>
      </c>
      <c r="N224" t="s">
        <v>38</v>
      </c>
      <c r="O224" t="s">
        <v>33</v>
      </c>
      <c r="P224" t="s">
        <v>44</v>
      </c>
      <c r="Q224" t="s">
        <v>63</v>
      </c>
      <c r="R224" t="s">
        <v>35</v>
      </c>
      <c r="S224" t="s">
        <v>35</v>
      </c>
      <c r="T224" t="s">
        <v>82</v>
      </c>
      <c r="U224" t="s">
        <v>35</v>
      </c>
      <c r="V224" t="str">
        <f t="shared" si="11"/>
        <v>CHSC-D</v>
      </c>
      <c r="W224">
        <v>0</v>
      </c>
      <c r="Y224" t="str">
        <f t="shared" si="12"/>
        <v>2766-9</v>
      </c>
      <c r="AA224">
        <v>1</v>
      </c>
      <c r="AB224">
        <v>10</v>
      </c>
      <c r="AC224">
        <v>10</v>
      </c>
      <c r="AD224">
        <f t="shared" si="13"/>
        <v>21</v>
      </c>
      <c r="AE224">
        <v>21</v>
      </c>
    </row>
    <row r="225" spans="1:31" x14ac:dyDescent="0.35">
      <c r="A225" t="s">
        <v>36</v>
      </c>
      <c r="B225">
        <v>13</v>
      </c>
      <c r="D225" t="s">
        <v>99</v>
      </c>
      <c r="E225">
        <v>1</v>
      </c>
      <c r="F225" t="s">
        <v>84</v>
      </c>
      <c r="G225">
        <v>1</v>
      </c>
      <c r="H225" t="s">
        <v>55</v>
      </c>
      <c r="I225" t="s">
        <v>56</v>
      </c>
      <c r="J225">
        <v>8</v>
      </c>
      <c r="K225" t="s">
        <v>38</v>
      </c>
      <c r="L225" t="s">
        <v>37</v>
      </c>
      <c r="M225">
        <v>9</v>
      </c>
      <c r="N225" t="s">
        <v>38</v>
      </c>
      <c r="O225" t="s">
        <v>34</v>
      </c>
      <c r="P225" t="s">
        <v>80</v>
      </c>
      <c r="Q225" t="s">
        <v>78</v>
      </c>
      <c r="R225" t="s">
        <v>65</v>
      </c>
      <c r="S225" t="s">
        <v>35</v>
      </c>
      <c r="T225" t="s">
        <v>35</v>
      </c>
      <c r="U225" t="s">
        <v>35</v>
      </c>
      <c r="V225" t="str">
        <f t="shared" si="11"/>
        <v>DCDH-D</v>
      </c>
      <c r="W225">
        <v>0</v>
      </c>
      <c r="Y225" t="str">
        <f t="shared" si="12"/>
        <v>A4QA-9</v>
      </c>
      <c r="AA225">
        <v>2</v>
      </c>
      <c r="AB225">
        <v>8</v>
      </c>
      <c r="AC225">
        <v>0</v>
      </c>
      <c r="AD225">
        <f t="shared" si="13"/>
        <v>10</v>
      </c>
      <c r="AE225">
        <v>10</v>
      </c>
    </row>
    <row r="226" spans="1:31" x14ac:dyDescent="0.35">
      <c r="A226" t="s">
        <v>23</v>
      </c>
      <c r="B226">
        <v>13</v>
      </c>
      <c r="D226" t="s">
        <v>99</v>
      </c>
      <c r="E226">
        <v>2</v>
      </c>
      <c r="F226" t="s">
        <v>39</v>
      </c>
      <c r="G226" t="s">
        <v>40</v>
      </c>
      <c r="H226" t="s">
        <v>28</v>
      </c>
      <c r="I226" t="s">
        <v>77</v>
      </c>
      <c r="J226">
        <v>2</v>
      </c>
      <c r="K226" t="s">
        <v>26</v>
      </c>
      <c r="L226" t="s">
        <v>63</v>
      </c>
      <c r="M226">
        <v>6</v>
      </c>
      <c r="N226" t="s">
        <v>28</v>
      </c>
      <c r="O226" t="s">
        <v>73</v>
      </c>
      <c r="P226" t="s">
        <v>75</v>
      </c>
      <c r="Q226" t="s">
        <v>85</v>
      </c>
      <c r="R226" t="s">
        <v>35</v>
      </c>
      <c r="S226" t="s">
        <v>87</v>
      </c>
      <c r="T226" t="s">
        <v>35</v>
      </c>
      <c r="U226" t="s">
        <v>35</v>
      </c>
      <c r="V226" t="str">
        <f t="shared" si="11"/>
        <v>CSCS-S</v>
      </c>
      <c r="W226">
        <v>0</v>
      </c>
      <c r="Y226" t="str">
        <f t="shared" si="12"/>
        <v>98A10-6</v>
      </c>
      <c r="AA226">
        <v>3</v>
      </c>
      <c r="AB226">
        <v>7</v>
      </c>
      <c r="AD226">
        <f t="shared" si="13"/>
        <v>10</v>
      </c>
      <c r="AE226">
        <v>31</v>
      </c>
    </row>
    <row r="227" spans="1:31" x14ac:dyDescent="0.35">
      <c r="A227" t="s">
        <v>36</v>
      </c>
      <c r="B227">
        <v>13</v>
      </c>
      <c r="D227" t="s">
        <v>99</v>
      </c>
      <c r="E227">
        <v>2</v>
      </c>
      <c r="F227" t="s">
        <v>46</v>
      </c>
      <c r="G227" t="s">
        <v>47</v>
      </c>
      <c r="H227" t="s">
        <v>26</v>
      </c>
      <c r="I227" t="s">
        <v>57</v>
      </c>
      <c r="J227" t="s">
        <v>58</v>
      </c>
      <c r="K227" t="s">
        <v>28</v>
      </c>
      <c r="L227" t="s">
        <v>63</v>
      </c>
      <c r="M227">
        <v>6</v>
      </c>
      <c r="N227" t="s">
        <v>28</v>
      </c>
      <c r="O227" t="s">
        <v>51</v>
      </c>
      <c r="P227" t="s">
        <v>49</v>
      </c>
      <c r="Q227" t="s">
        <v>35</v>
      </c>
      <c r="R227" t="s">
        <v>35</v>
      </c>
      <c r="S227" t="s">
        <v>29</v>
      </c>
      <c r="T227" t="s">
        <v>64</v>
      </c>
      <c r="U227" t="s">
        <v>35</v>
      </c>
      <c r="V227" t="str">
        <f t="shared" si="11"/>
        <v>DCHC-S</v>
      </c>
      <c r="W227">
        <v>0</v>
      </c>
      <c r="Y227" t="str">
        <f t="shared" si="12"/>
        <v>63J7-6</v>
      </c>
      <c r="AA227">
        <v>1</v>
      </c>
      <c r="AB227">
        <v>4</v>
      </c>
      <c r="AD227">
        <f t="shared" si="13"/>
        <v>5</v>
      </c>
      <c r="AE227">
        <v>15</v>
      </c>
    </row>
    <row r="228" spans="1:31" x14ac:dyDescent="0.35">
      <c r="A228" t="s">
        <v>23</v>
      </c>
      <c r="B228">
        <v>13</v>
      </c>
      <c r="D228" t="s">
        <v>99</v>
      </c>
      <c r="E228">
        <v>3</v>
      </c>
      <c r="F228" t="s">
        <v>41</v>
      </c>
      <c r="G228">
        <v>3</v>
      </c>
      <c r="H228" t="s">
        <v>26</v>
      </c>
      <c r="I228" t="s">
        <v>63</v>
      </c>
      <c r="J228">
        <v>6</v>
      </c>
      <c r="K228" t="s">
        <v>28</v>
      </c>
      <c r="L228" t="s">
        <v>44</v>
      </c>
      <c r="M228">
        <v>7</v>
      </c>
      <c r="N228" t="s">
        <v>26</v>
      </c>
      <c r="O228" t="s">
        <v>45</v>
      </c>
      <c r="P228" t="s">
        <v>87</v>
      </c>
      <c r="Q228" t="s">
        <v>35</v>
      </c>
      <c r="R228" t="s">
        <v>68</v>
      </c>
      <c r="S228" t="s">
        <v>73</v>
      </c>
      <c r="T228" t="s">
        <v>35</v>
      </c>
      <c r="U228" t="s">
        <v>35</v>
      </c>
      <c r="V228" t="str">
        <f t="shared" si="11"/>
        <v>HSSC-H</v>
      </c>
      <c r="W228">
        <v>0</v>
      </c>
      <c r="Y228" t="str">
        <f t="shared" si="12"/>
        <v>81099-7</v>
      </c>
      <c r="AA228">
        <v>7</v>
      </c>
      <c r="AB228">
        <v>12</v>
      </c>
      <c r="AC228">
        <v>7</v>
      </c>
      <c r="AD228">
        <f t="shared" si="13"/>
        <v>26</v>
      </c>
      <c r="AE228">
        <v>57</v>
      </c>
    </row>
    <row r="229" spans="1:31" x14ac:dyDescent="0.35">
      <c r="A229" t="s">
        <v>36</v>
      </c>
      <c r="B229">
        <v>13</v>
      </c>
      <c r="D229" t="s">
        <v>99</v>
      </c>
      <c r="E229">
        <v>3</v>
      </c>
      <c r="F229" t="s">
        <v>67</v>
      </c>
      <c r="G229">
        <v>2</v>
      </c>
      <c r="H229" t="s">
        <v>38</v>
      </c>
      <c r="I229" t="s">
        <v>75</v>
      </c>
      <c r="J229">
        <v>8</v>
      </c>
      <c r="K229" t="s">
        <v>28</v>
      </c>
      <c r="L229" t="s">
        <v>44</v>
      </c>
      <c r="M229">
        <v>7</v>
      </c>
      <c r="N229" t="s">
        <v>26</v>
      </c>
      <c r="O229" t="s">
        <v>52</v>
      </c>
      <c r="P229" t="s">
        <v>85</v>
      </c>
      <c r="Q229" t="s">
        <v>35</v>
      </c>
      <c r="R229" t="s">
        <v>74</v>
      </c>
      <c r="S229" t="s">
        <v>35</v>
      </c>
      <c r="T229" t="s">
        <v>71</v>
      </c>
      <c r="U229" t="s">
        <v>35</v>
      </c>
      <c r="V229" t="str">
        <f t="shared" si="11"/>
        <v>DCHC-H</v>
      </c>
      <c r="W229">
        <v>0</v>
      </c>
      <c r="Y229" t="str">
        <f t="shared" si="12"/>
        <v>JA9Q-7</v>
      </c>
      <c r="AA229">
        <v>4</v>
      </c>
      <c r="AB229">
        <v>0</v>
      </c>
      <c r="AD229">
        <f t="shared" si="13"/>
        <v>4</v>
      </c>
      <c r="AE229">
        <v>19</v>
      </c>
    </row>
    <row r="230" spans="1:31" x14ac:dyDescent="0.35">
      <c r="A230" t="s">
        <v>23</v>
      </c>
      <c r="B230">
        <v>13</v>
      </c>
      <c r="D230" t="s">
        <v>99</v>
      </c>
      <c r="E230">
        <v>4</v>
      </c>
      <c r="F230" t="s">
        <v>37</v>
      </c>
      <c r="G230">
        <v>9</v>
      </c>
      <c r="H230" t="s">
        <v>38</v>
      </c>
      <c r="I230" t="s">
        <v>57</v>
      </c>
      <c r="J230" t="s">
        <v>58</v>
      </c>
      <c r="K230" t="s">
        <v>28</v>
      </c>
      <c r="L230" t="s">
        <v>78</v>
      </c>
      <c r="M230" t="s">
        <v>40</v>
      </c>
      <c r="N230" t="s">
        <v>38</v>
      </c>
      <c r="O230" t="s">
        <v>46</v>
      </c>
      <c r="P230" t="s">
        <v>69</v>
      </c>
      <c r="Q230" t="s">
        <v>65</v>
      </c>
      <c r="R230" t="s">
        <v>35</v>
      </c>
      <c r="S230" t="s">
        <v>70</v>
      </c>
      <c r="T230" t="s">
        <v>35</v>
      </c>
      <c r="U230" t="s">
        <v>35</v>
      </c>
      <c r="V230" t="str">
        <f t="shared" si="11"/>
        <v>HCHS-D</v>
      </c>
      <c r="W230">
        <v>0</v>
      </c>
      <c r="Y230" t="str">
        <f t="shared" si="12"/>
        <v>K5A5-Q</v>
      </c>
      <c r="AA230">
        <v>3</v>
      </c>
      <c r="AB230">
        <v>10</v>
      </c>
      <c r="AD230">
        <f t="shared" si="13"/>
        <v>13</v>
      </c>
      <c r="AE230">
        <v>70</v>
      </c>
    </row>
    <row r="231" spans="1:31" x14ac:dyDescent="0.35">
      <c r="A231" t="s">
        <v>36</v>
      </c>
      <c r="B231">
        <v>13</v>
      </c>
      <c r="D231" t="s">
        <v>99</v>
      </c>
      <c r="E231">
        <v>4</v>
      </c>
      <c r="F231" t="s">
        <v>54</v>
      </c>
      <c r="G231">
        <v>8</v>
      </c>
      <c r="H231" t="s">
        <v>55</v>
      </c>
      <c r="I231" t="s">
        <v>81</v>
      </c>
      <c r="J231" t="s">
        <v>30</v>
      </c>
      <c r="K231" t="s">
        <v>55</v>
      </c>
      <c r="L231" t="s">
        <v>78</v>
      </c>
      <c r="M231" t="s">
        <v>40</v>
      </c>
      <c r="N231" t="s">
        <v>38</v>
      </c>
      <c r="O231" t="s">
        <v>68</v>
      </c>
      <c r="P231" t="s">
        <v>51</v>
      </c>
      <c r="Q231" t="s">
        <v>35</v>
      </c>
      <c r="R231" t="s">
        <v>35</v>
      </c>
      <c r="S231" t="s">
        <v>72</v>
      </c>
      <c r="T231" t="s">
        <v>80</v>
      </c>
      <c r="U231" t="s">
        <v>35</v>
      </c>
      <c r="V231" t="str">
        <f t="shared" si="11"/>
        <v>SDSC-D</v>
      </c>
      <c r="W231">
        <v>0</v>
      </c>
      <c r="Y231" t="str">
        <f t="shared" si="12"/>
        <v>9634-Q</v>
      </c>
      <c r="AA231">
        <v>4</v>
      </c>
      <c r="AB231">
        <v>2</v>
      </c>
      <c r="AD231">
        <f t="shared" si="13"/>
        <v>6</v>
      </c>
      <c r="AE231">
        <v>25</v>
      </c>
    </row>
    <row r="232" spans="1:31" x14ac:dyDescent="0.35">
      <c r="A232" t="s">
        <v>23</v>
      </c>
      <c r="B232">
        <v>13</v>
      </c>
      <c r="D232" t="s">
        <v>99</v>
      </c>
      <c r="E232">
        <v>5</v>
      </c>
      <c r="F232" t="s">
        <v>39</v>
      </c>
      <c r="G232" t="s">
        <v>40</v>
      </c>
      <c r="H232" t="s">
        <v>28</v>
      </c>
      <c r="I232" t="s">
        <v>81</v>
      </c>
      <c r="J232" t="s">
        <v>30</v>
      </c>
      <c r="K232" t="s">
        <v>55</v>
      </c>
      <c r="L232" t="s">
        <v>37</v>
      </c>
      <c r="M232">
        <v>9</v>
      </c>
      <c r="N232" t="s">
        <v>38</v>
      </c>
      <c r="O232" t="s">
        <v>41</v>
      </c>
      <c r="P232" t="s">
        <v>31</v>
      </c>
      <c r="Q232" t="s">
        <v>79</v>
      </c>
      <c r="R232" t="s">
        <v>57</v>
      </c>
      <c r="S232" t="s">
        <v>35</v>
      </c>
      <c r="T232" t="s">
        <v>35</v>
      </c>
      <c r="U232" t="s">
        <v>35</v>
      </c>
      <c r="V232" t="str">
        <f t="shared" si="11"/>
        <v>HDDS-D</v>
      </c>
      <c r="W232">
        <v>0</v>
      </c>
      <c r="Y232" t="str">
        <f t="shared" si="12"/>
        <v>337A-9</v>
      </c>
      <c r="AA232">
        <v>8</v>
      </c>
      <c r="AB232">
        <v>4</v>
      </c>
      <c r="AC232">
        <v>2</v>
      </c>
      <c r="AD232">
        <f t="shared" si="13"/>
        <v>14</v>
      </c>
      <c r="AE232">
        <v>84</v>
      </c>
    </row>
    <row r="233" spans="1:31" x14ac:dyDescent="0.35">
      <c r="A233" t="s">
        <v>36</v>
      </c>
      <c r="B233">
        <v>13</v>
      </c>
      <c r="D233" t="s">
        <v>99</v>
      </c>
      <c r="E233">
        <v>5</v>
      </c>
      <c r="F233" t="s">
        <v>77</v>
      </c>
      <c r="G233">
        <v>2</v>
      </c>
      <c r="H233" t="s">
        <v>26</v>
      </c>
      <c r="I233" t="s">
        <v>71</v>
      </c>
      <c r="J233" t="s">
        <v>40</v>
      </c>
      <c r="K233" t="s">
        <v>55</v>
      </c>
      <c r="L233" t="s">
        <v>37</v>
      </c>
      <c r="M233">
        <v>9</v>
      </c>
      <c r="N233" t="s">
        <v>38</v>
      </c>
      <c r="O233" t="s">
        <v>49</v>
      </c>
      <c r="P233" t="s">
        <v>82</v>
      </c>
      <c r="Q233" t="s">
        <v>54</v>
      </c>
      <c r="R233" t="s">
        <v>35</v>
      </c>
      <c r="S233" t="s">
        <v>73</v>
      </c>
      <c r="T233" t="s">
        <v>35</v>
      </c>
      <c r="U233" t="s">
        <v>35</v>
      </c>
      <c r="V233" t="str">
        <f t="shared" si="11"/>
        <v>CCCC-D</v>
      </c>
      <c r="W233">
        <v>4</v>
      </c>
      <c r="X233">
        <v>0</v>
      </c>
      <c r="Y233" t="str">
        <f t="shared" si="12"/>
        <v>3689-9</v>
      </c>
      <c r="AA233">
        <v>8</v>
      </c>
      <c r="AB233">
        <v>10</v>
      </c>
      <c r="AD233">
        <f t="shared" si="13"/>
        <v>18</v>
      </c>
      <c r="AE233">
        <v>43</v>
      </c>
    </row>
    <row r="234" spans="1:31" x14ac:dyDescent="0.35">
      <c r="A234" t="s">
        <v>23</v>
      </c>
      <c r="B234">
        <v>13</v>
      </c>
      <c r="D234" t="s">
        <v>99</v>
      </c>
      <c r="E234">
        <v>6</v>
      </c>
      <c r="F234" t="s">
        <v>78</v>
      </c>
      <c r="G234" t="s">
        <v>40</v>
      </c>
      <c r="H234" t="s">
        <v>38</v>
      </c>
      <c r="I234" t="s">
        <v>71</v>
      </c>
      <c r="J234" t="s">
        <v>40</v>
      </c>
      <c r="K234" t="s">
        <v>55</v>
      </c>
      <c r="L234" t="s">
        <v>74</v>
      </c>
      <c r="M234">
        <v>9</v>
      </c>
      <c r="N234" t="s">
        <v>26</v>
      </c>
      <c r="O234" t="s">
        <v>56</v>
      </c>
      <c r="P234" t="s">
        <v>75</v>
      </c>
      <c r="Q234" t="s">
        <v>77</v>
      </c>
      <c r="R234" t="s">
        <v>35</v>
      </c>
      <c r="S234" t="s">
        <v>33</v>
      </c>
      <c r="T234" t="s">
        <v>35</v>
      </c>
      <c r="U234" t="s">
        <v>35</v>
      </c>
      <c r="V234" t="str">
        <f t="shared" si="11"/>
        <v>DSHC-H</v>
      </c>
      <c r="W234">
        <v>0</v>
      </c>
      <c r="Y234" t="str">
        <f t="shared" si="12"/>
        <v>8822-9</v>
      </c>
      <c r="AA234">
        <v>3</v>
      </c>
      <c r="AB234">
        <v>4</v>
      </c>
      <c r="AD234">
        <f t="shared" si="13"/>
        <v>7</v>
      </c>
      <c r="AE234">
        <v>91</v>
      </c>
    </row>
    <row r="235" spans="1:31" x14ac:dyDescent="0.35">
      <c r="A235" t="s">
        <v>36</v>
      </c>
      <c r="B235">
        <v>13</v>
      </c>
      <c r="D235" t="s">
        <v>99</v>
      </c>
      <c r="E235">
        <v>6</v>
      </c>
      <c r="F235" t="s">
        <v>66</v>
      </c>
      <c r="G235">
        <v>5</v>
      </c>
      <c r="H235" t="s">
        <v>38</v>
      </c>
      <c r="I235" t="s">
        <v>61</v>
      </c>
      <c r="J235">
        <v>1</v>
      </c>
      <c r="K235" t="s">
        <v>38</v>
      </c>
      <c r="L235" t="s">
        <v>74</v>
      </c>
      <c r="M235">
        <v>9</v>
      </c>
      <c r="N235" t="s">
        <v>26</v>
      </c>
      <c r="O235" t="s">
        <v>50</v>
      </c>
      <c r="P235" t="s">
        <v>79</v>
      </c>
      <c r="Q235" t="s">
        <v>35</v>
      </c>
      <c r="R235" t="s">
        <v>35</v>
      </c>
      <c r="S235" t="s">
        <v>68</v>
      </c>
      <c r="T235" t="s">
        <v>63</v>
      </c>
      <c r="U235" t="s">
        <v>35</v>
      </c>
      <c r="V235" t="str">
        <f t="shared" si="11"/>
        <v>HDSS-H</v>
      </c>
      <c r="W235">
        <v>0</v>
      </c>
      <c r="Y235" t="str">
        <f t="shared" si="12"/>
        <v>6796-9</v>
      </c>
      <c r="AA235">
        <v>4</v>
      </c>
      <c r="AB235">
        <v>12</v>
      </c>
      <c r="AC235">
        <v>8</v>
      </c>
      <c r="AD235">
        <f t="shared" si="13"/>
        <v>24</v>
      </c>
      <c r="AE235">
        <v>67</v>
      </c>
    </row>
    <row r="236" spans="1:31" x14ac:dyDescent="0.35">
      <c r="A236" t="s">
        <v>23</v>
      </c>
      <c r="B236">
        <v>13</v>
      </c>
      <c r="D236" t="s">
        <v>99</v>
      </c>
      <c r="E236">
        <v>7</v>
      </c>
      <c r="F236" t="s">
        <v>32</v>
      </c>
      <c r="G236" t="s">
        <v>47</v>
      </c>
      <c r="H236" t="s">
        <v>38</v>
      </c>
      <c r="I236" t="s">
        <v>83</v>
      </c>
      <c r="J236" t="s">
        <v>47</v>
      </c>
      <c r="K236" t="s">
        <v>55</v>
      </c>
      <c r="L236" t="s">
        <v>25</v>
      </c>
      <c r="M236">
        <v>5</v>
      </c>
      <c r="N236" t="s">
        <v>26</v>
      </c>
      <c r="O236" t="s">
        <v>42</v>
      </c>
      <c r="P236" t="s">
        <v>68</v>
      </c>
      <c r="Q236" t="s">
        <v>35</v>
      </c>
      <c r="R236" t="s">
        <v>74</v>
      </c>
      <c r="S236" t="s">
        <v>48</v>
      </c>
      <c r="T236" t="s">
        <v>35</v>
      </c>
      <c r="U236" t="s">
        <v>35</v>
      </c>
      <c r="V236" t="str">
        <f t="shared" si="11"/>
        <v>HSHH-H</v>
      </c>
      <c r="W236">
        <v>4</v>
      </c>
      <c r="X236">
        <v>4</v>
      </c>
      <c r="Y236" t="str">
        <f t="shared" si="12"/>
        <v>49910-5</v>
      </c>
      <c r="AA236">
        <v>4</v>
      </c>
      <c r="AB236">
        <v>8</v>
      </c>
      <c r="AC236">
        <v>6</v>
      </c>
      <c r="AD236">
        <f t="shared" si="13"/>
        <v>18</v>
      </c>
      <c r="AE236">
        <v>109</v>
      </c>
    </row>
    <row r="237" spans="1:31" x14ac:dyDescent="0.35">
      <c r="A237" t="s">
        <v>36</v>
      </c>
      <c r="B237">
        <v>13</v>
      </c>
      <c r="D237" t="s">
        <v>99</v>
      </c>
      <c r="E237">
        <v>7</v>
      </c>
      <c r="F237" t="s">
        <v>34</v>
      </c>
      <c r="G237" t="s">
        <v>58</v>
      </c>
      <c r="H237" t="s">
        <v>38</v>
      </c>
      <c r="I237" t="s">
        <v>79</v>
      </c>
      <c r="J237">
        <v>7</v>
      </c>
      <c r="K237" t="s">
        <v>38</v>
      </c>
      <c r="L237" t="s">
        <v>25</v>
      </c>
      <c r="M237">
        <v>5</v>
      </c>
      <c r="N237" t="s">
        <v>26</v>
      </c>
      <c r="O237" t="s">
        <v>69</v>
      </c>
      <c r="P237" t="s">
        <v>53</v>
      </c>
      <c r="Q237" t="s">
        <v>35</v>
      </c>
      <c r="R237" t="s">
        <v>86</v>
      </c>
      <c r="S237" t="s">
        <v>39</v>
      </c>
      <c r="T237" t="s">
        <v>35</v>
      </c>
      <c r="U237" t="s">
        <v>35</v>
      </c>
      <c r="V237" t="str">
        <f t="shared" si="11"/>
        <v>CHSS-H</v>
      </c>
      <c r="W237">
        <v>0</v>
      </c>
      <c r="Y237" t="str">
        <f t="shared" si="12"/>
        <v>5QJQ-5</v>
      </c>
      <c r="AA237">
        <v>2</v>
      </c>
      <c r="AB237">
        <v>16</v>
      </c>
      <c r="AD237">
        <f t="shared" si="13"/>
        <v>18</v>
      </c>
      <c r="AE237">
        <v>85</v>
      </c>
    </row>
    <row r="238" spans="1:31" x14ac:dyDescent="0.35">
      <c r="A238" t="s">
        <v>23</v>
      </c>
      <c r="B238">
        <v>13</v>
      </c>
      <c r="D238" t="s">
        <v>99</v>
      </c>
      <c r="E238">
        <v>8</v>
      </c>
      <c r="F238" t="s">
        <v>48</v>
      </c>
      <c r="G238">
        <v>1</v>
      </c>
      <c r="H238" t="s">
        <v>26</v>
      </c>
      <c r="I238" t="s">
        <v>57</v>
      </c>
      <c r="J238" t="s">
        <v>58</v>
      </c>
      <c r="K238" t="s">
        <v>28</v>
      </c>
      <c r="L238" t="s">
        <v>51</v>
      </c>
      <c r="M238">
        <v>6</v>
      </c>
      <c r="N238" t="s">
        <v>38</v>
      </c>
      <c r="O238" t="s">
        <v>29</v>
      </c>
      <c r="P238" t="s">
        <v>85</v>
      </c>
      <c r="Q238" t="s">
        <v>35</v>
      </c>
      <c r="R238" t="s">
        <v>54</v>
      </c>
      <c r="S238" t="s">
        <v>79</v>
      </c>
      <c r="T238" t="s">
        <v>35</v>
      </c>
      <c r="U238" t="s">
        <v>35</v>
      </c>
      <c r="V238" t="str">
        <f t="shared" si="11"/>
        <v>HCCD-D</v>
      </c>
      <c r="W238">
        <v>0</v>
      </c>
      <c r="Y238" t="str">
        <f t="shared" si="12"/>
        <v>JA87-6</v>
      </c>
      <c r="AA238">
        <v>2</v>
      </c>
      <c r="AB238">
        <v>5</v>
      </c>
      <c r="AD238">
        <f t="shared" si="13"/>
        <v>7</v>
      </c>
      <c r="AE238">
        <v>116</v>
      </c>
    </row>
    <row r="239" spans="1:31" x14ac:dyDescent="0.35">
      <c r="A239" t="s">
        <v>36</v>
      </c>
      <c r="B239">
        <v>13</v>
      </c>
      <c r="D239" t="s">
        <v>99</v>
      </c>
      <c r="E239">
        <v>8</v>
      </c>
      <c r="F239" t="s">
        <v>50</v>
      </c>
      <c r="G239">
        <v>6</v>
      </c>
      <c r="H239" t="s">
        <v>26</v>
      </c>
      <c r="I239" t="s">
        <v>74</v>
      </c>
      <c r="J239">
        <v>9</v>
      </c>
      <c r="K239" t="s">
        <v>26</v>
      </c>
      <c r="L239" t="s">
        <v>51</v>
      </c>
      <c r="M239">
        <v>6</v>
      </c>
      <c r="N239" t="s">
        <v>38</v>
      </c>
      <c r="O239" t="s">
        <v>73</v>
      </c>
      <c r="P239" t="s">
        <v>78</v>
      </c>
      <c r="Q239" t="s">
        <v>35</v>
      </c>
      <c r="R239" t="s">
        <v>25</v>
      </c>
      <c r="S239" t="s">
        <v>69</v>
      </c>
      <c r="T239" t="s">
        <v>35</v>
      </c>
      <c r="U239" t="s">
        <v>35</v>
      </c>
      <c r="V239" t="str">
        <f t="shared" si="11"/>
        <v>CDHC-D</v>
      </c>
      <c r="W239">
        <v>0</v>
      </c>
      <c r="Y239" t="str">
        <f t="shared" si="12"/>
        <v>9Q55-6</v>
      </c>
      <c r="AA239">
        <v>0</v>
      </c>
      <c r="AB239">
        <v>8</v>
      </c>
      <c r="AC239">
        <v>6</v>
      </c>
      <c r="AD239">
        <f t="shared" si="13"/>
        <v>14</v>
      </c>
      <c r="AE239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45893-AA23-40CB-AA2A-9F58B22E3F7A}">
  <dimension ref="A1:F2"/>
  <sheetViews>
    <sheetView workbookViewId="0">
      <selection activeCell="E2" sqref="E2"/>
    </sheetView>
  </sheetViews>
  <sheetFormatPr defaultRowHeight="14.5" x14ac:dyDescent="0.35"/>
  <cols>
    <col min="3" max="3" width="21" customWidth="1"/>
    <col min="4" max="4" width="19.81640625" customWidth="1"/>
    <col min="5" max="5" width="24.453125" customWidth="1"/>
    <col min="6" max="6" width="21" customWidth="1"/>
  </cols>
  <sheetData>
    <row r="1" spans="1:6" x14ac:dyDescent="0.35">
      <c r="A1" t="s">
        <v>114</v>
      </c>
      <c r="B1" t="s">
        <v>2</v>
      </c>
      <c r="E1" t="s">
        <v>41</v>
      </c>
      <c r="F1" t="s">
        <v>115</v>
      </c>
    </row>
    <row r="2" spans="1:6" x14ac:dyDescent="0.35">
      <c r="C2" t="str">
        <f>_xlfn.CONCAT(data_part2!O2,data_part2!P2,data_part2!Q2,data_part2!R2,data_part2!S2,data_part2!T2,data_part2!U2)</f>
        <v>3DKD2CADGOGOGO</v>
      </c>
      <c r="D2" t="str">
        <f>_xlfn.CONCAT(data_part2!O3,data_part2!P3,data_part2!Q3,data_part2!R3,data_part2!S3,data_part2!T3,data_part2!U3)</f>
        <v>3H4H2SGO7HGOGO</v>
      </c>
      <c r="E2" t="e">
        <f>IF(SEARCH(E1,C2),data_part2!A2,IF(SEARCH(F1,D2),data_part2!A3))</f>
        <v>#VALUE!</v>
      </c>
      <c r="F2" t="e">
        <f>IF(SEARCH(Sheet2!F1,D2),data_part2!A3)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data_part2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Caitlin McConnery</dc:creator>
  <cp:lastModifiedBy>Caitlin McConnery</cp:lastModifiedBy>
  <dcterms:created xsi:type="dcterms:W3CDTF">2026-02-28T07:51:26Z</dcterms:created>
  <dcterms:modified xsi:type="dcterms:W3CDTF">2026-03-13T19:05:28Z</dcterms:modified>
</cp:coreProperties>
</file>